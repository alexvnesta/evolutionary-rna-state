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5. PD1+CTLA4-DEgenes" sheetId="1" r:id="rId1"/>
  </sheets>
  <definedNames>
    <definedName name="_xlnm._FilterDatabase" localSheetId="0" hidden="1">'Table S5. PD1+CTLA4-DEgenes'!$A$3:$M$331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1" i="1" l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</calcChain>
</file>

<file path=xl/sharedStrings.xml><?xml version="1.0" encoding="utf-8"?>
<sst xmlns="http://schemas.openxmlformats.org/spreadsheetml/2006/main" count="1006" uniqueCount="999">
  <si>
    <t xml:space="preserve">Table S5. Differentially expressed genes (adjusted p value &lt; 0.05) between responders and non-responders in combined anti-PD-1 and anti-CTLA-4 immunotherapy, Related to Figure 1. </t>
  </si>
  <si>
    <t>Gene</t>
  </si>
  <si>
    <t>Chromosome</t>
  </si>
  <si>
    <t>Start</t>
  </si>
  <si>
    <t>End</t>
  </si>
  <si>
    <t>adj. p value</t>
  </si>
  <si>
    <t>ID</t>
  </si>
  <si>
    <t>Description</t>
  </si>
  <si>
    <t>Pre-Responders
(n=24)</t>
  </si>
  <si>
    <t>Pre-Nonresponders
(n=8)</t>
  </si>
  <si>
    <t>EDT-Responders
(n=6)</t>
  </si>
  <si>
    <t>EDT-Nonresponders
(n=3)</t>
  </si>
  <si>
    <t>log2 fold-change
(PRE-R vs PRE-NR)</t>
  </si>
  <si>
    <t>log2 fold-change
(EDT-R vs EDT-NR)</t>
  </si>
  <si>
    <t>TNFRSF9</t>
  </si>
  <si>
    <t>ENSG00000049249</t>
  </si>
  <si>
    <t>tumor necrosis factor receptor superfamily, member 9 [Source:HGNC Symbol;Acc:HGNC:11924]</t>
  </si>
  <si>
    <t>RCC2</t>
  </si>
  <si>
    <t>ENSG00000179051</t>
  </si>
  <si>
    <t>regulator of chromosome condensation 2 [Source:HGNC Symbol;Acc:HGNC:30297]</t>
  </si>
  <si>
    <t>CD52</t>
  </si>
  <si>
    <t>ENSG00000169442</t>
  </si>
  <si>
    <t>CD52 molecule [Source:HGNC Symbol;Acc:HGNC:1804]</t>
  </si>
  <si>
    <t>FGR</t>
  </si>
  <si>
    <t>ENSG00000000938</t>
  </si>
  <si>
    <t>FGR proto-oncogene, Src family tyrosine kinase [Source:HGNC Symbol;Acc:HGNC:3697]</t>
  </si>
  <si>
    <t>SRSF4</t>
  </si>
  <si>
    <t>ENSG00000116350</t>
  </si>
  <si>
    <t>serine/arginine-rich splicing factor 4 [Source:HGNC Symbol;Acc:HGNC:10786]</t>
  </si>
  <si>
    <t>PUM1</t>
  </si>
  <si>
    <t>ENSG00000134644</t>
  </si>
  <si>
    <t>pumilio RNA-binding family member 1 [Source:HGNC Symbol;Acc:HGNC:14957]</t>
  </si>
  <si>
    <t>SNRNP40</t>
  </si>
  <si>
    <t>ENSG00000060688</t>
  </si>
  <si>
    <t>small nuclear ribonucleoprotein 40kDa (U5) [Source:HGNC Symbol;Acc:HGNC:30857]</t>
  </si>
  <si>
    <t>LCK</t>
  </si>
  <si>
    <t>ENSG00000182866</t>
  </si>
  <si>
    <t>LCK proto-oncogene, Src family tyrosine kinase [Source:HGNC Symbol;Acc:HGNC:6524]</t>
  </si>
  <si>
    <t>COL9A2</t>
  </si>
  <si>
    <t>ENSG00000049089</t>
  </si>
  <si>
    <t>collagen, type IX, alpha 2 [Source:HGNC Symbol;Acc:HGNC:2218]</t>
  </si>
  <si>
    <t>ZFP69B</t>
  </si>
  <si>
    <t>ENSG00000187801</t>
  </si>
  <si>
    <t>ZFP69 zinc finger protein B [Source:HGNC Symbol;Acc:HGNC:28053]</t>
  </si>
  <si>
    <t>NASP</t>
  </si>
  <si>
    <t>ENSG00000132780</t>
  </si>
  <si>
    <t>nuclear autoantigenic sperm protein (histone- binding) [Source:HGNC Symbol;Acc:HGNC:7644]</t>
  </si>
  <si>
    <t>AK5</t>
  </si>
  <si>
    <t>ENSG00000154027</t>
  </si>
  <si>
    <t>adenylate kinase 5 [Source:HGNC Symbol;Acc:HGNC:365]</t>
  </si>
  <si>
    <t>LPHN2</t>
  </si>
  <si>
    <t>ENSG00000117114</t>
  </si>
  <si>
    <t>latrophilin 2 [Source:HGNC Symbol;Acc:HGNC:18582]</t>
  </si>
  <si>
    <t>GBP1</t>
  </si>
  <si>
    <t>ENSG00000117228</t>
  </si>
  <si>
    <t>guanylate binding protein 1, interferon- inducible [Source:HGNC Symbol;Acc:HGNC:4182]</t>
  </si>
  <si>
    <t>GBP5</t>
  </si>
  <si>
    <t>ENSG00000154451</t>
  </si>
  <si>
    <t>guanylate binding protein 5 [Source:HGNC Symbol;Acc:HGNC:19895]</t>
  </si>
  <si>
    <t>PTPN22</t>
  </si>
  <si>
    <t>ENSG00000134242</t>
  </si>
  <si>
    <t>protein tyrosine phosphatase, non-receptor type 22 (lymphoid) [Source:HGNC Symbol;Acc:HGNC:9652]</t>
  </si>
  <si>
    <t>CD2</t>
  </si>
  <si>
    <t>ENSG00000116824</t>
  </si>
  <si>
    <t>CD2 molecule [Source:HGNC Symbol;Acc:HGNC:1639]</t>
  </si>
  <si>
    <t>CTSS</t>
  </si>
  <si>
    <t>ENSG00000163131</t>
  </si>
  <si>
    <t>cathepsin S [Source:HGNC Symbol;Acc:HGNC:2545]</t>
  </si>
  <si>
    <t>NUP210L</t>
  </si>
  <si>
    <t>ENSG00000143552</t>
  </si>
  <si>
    <t>nucleoporin 210kDa-like [Source:HGNC Symbol;Acc:HGNC:29915]</t>
  </si>
  <si>
    <t>MEX3A</t>
  </si>
  <si>
    <t>ENSG00000254726</t>
  </si>
  <si>
    <t>mex-3 RNA binding family member A [Source:HGNC Symbol;Acc:HGNC:33482]</t>
  </si>
  <si>
    <t>TTC24</t>
  </si>
  <si>
    <t>ENSG00000187862</t>
  </si>
  <si>
    <t>tetratricopeptide repeat domain 24 [Source:HGNC Symbol;Acc:HGNC:32348]</t>
  </si>
  <si>
    <t>FCRL3</t>
  </si>
  <si>
    <t>ENSG00000160856</t>
  </si>
  <si>
    <t>Fc receptor-like 3 [Source:HGNC Symbol;Acc:HGNC:18506]</t>
  </si>
  <si>
    <t>FCRL2</t>
  </si>
  <si>
    <t>ENSG00000132704</t>
  </si>
  <si>
    <t>Fc receptor-like 2 [Source:HGNC Symbol;Acc:HGNC:14875]</t>
  </si>
  <si>
    <t>MNDA</t>
  </si>
  <si>
    <t>ENSG00000163563</t>
  </si>
  <si>
    <t>myeloid cell nuclear differentiation antigen [Source:HGNC Symbol;Acc:HGNC:7183]</t>
  </si>
  <si>
    <t>PYHIN1</t>
  </si>
  <si>
    <t>ENSG00000163564</t>
  </si>
  <si>
    <t>pyrin and HIN domain family, member 1 [Source:HGNC Symbol;Acc:HGNC:28894]</t>
  </si>
  <si>
    <t>CADM3</t>
  </si>
  <si>
    <t>ENSG00000162706</t>
  </si>
  <si>
    <t>cell adhesion molecule 3 [Source:HGNC Symbol;Acc:HGNC:17601]</t>
  </si>
  <si>
    <t>CADM3-AS1</t>
  </si>
  <si>
    <t>ENSG00000225670</t>
  </si>
  <si>
    <t>CADM3 antisense RNA 1 [Source:HGNC Symbol;Acc:HGNC:40812]</t>
  </si>
  <si>
    <t>C1orf204</t>
  </si>
  <si>
    <t>ENSG00000188004</t>
  </si>
  <si>
    <t>chromosome 1 open reading frame 204 [Source:HGNC Symbol;Acc:HGNC:27647]</t>
  </si>
  <si>
    <t>SLAMF6</t>
  </si>
  <si>
    <t>ENSG00000162739</t>
  </si>
  <si>
    <t>SLAM family member 6 [Source:HGNC Symbol;Acc:HGNC:21392]</t>
  </si>
  <si>
    <t>CD84</t>
  </si>
  <si>
    <t>ENSG00000066294</t>
  </si>
  <si>
    <t>CD84 molecule [Source:HGNC Symbol;Acc:HGNC:1704]</t>
  </si>
  <si>
    <t>SLAMF1</t>
  </si>
  <si>
    <t>ENSG00000117090</t>
  </si>
  <si>
    <t>signaling lymphocytic activation molecule family member 1 [Source:HGNC Symbol;Acc:HGNC:10903]</t>
  </si>
  <si>
    <t>CD48</t>
  </si>
  <si>
    <t>ENSG00000117091</t>
  </si>
  <si>
    <t>CD48 molecule [Source:HGNC Symbol;Acc:HGNC:1683]</t>
  </si>
  <si>
    <t>SLAMF7</t>
  </si>
  <si>
    <t>ENSG00000026751</t>
  </si>
  <si>
    <t>SLAM family member 7 [Source:HGNC Symbol;Acc:HGNC:21394]</t>
  </si>
  <si>
    <t>LY9</t>
  </si>
  <si>
    <t>ENSG00000122224</t>
  </si>
  <si>
    <t>lymphocyte antigen 9 [Source:HGNC Symbol;Acc:HGNC:6730]</t>
  </si>
  <si>
    <t>CD247</t>
  </si>
  <si>
    <t>ENSG00000198821</t>
  </si>
  <si>
    <t>CD247 molecule [Source:HGNC Symbol;Acc:HGNC:1677]</t>
  </si>
  <si>
    <t>RCSD1</t>
  </si>
  <si>
    <t>ENSG00000198771</t>
  </si>
  <si>
    <t>RCSD domain containing 1 [Source:HGNC Symbol;Acc:HGNC:28310]</t>
  </si>
  <si>
    <t>SELL</t>
  </si>
  <si>
    <t>ENSG00000188404</t>
  </si>
  <si>
    <t>selectin L [Source:HGNC Symbol;Acc:HGNC:10720]</t>
  </si>
  <si>
    <t>FMO3</t>
  </si>
  <si>
    <t>ENSG00000007933</t>
  </si>
  <si>
    <t>flavin containing monooxygenase 3 [Source:HGNC Symbol;Acc:HGNC:3771]</t>
  </si>
  <si>
    <t>FASLG</t>
  </si>
  <si>
    <t>ENSG00000117560</t>
  </si>
  <si>
    <t>Fas ligand (TNF superfamily, member 6) [Source:HGNC Symbol;Acc:HGNC:11936]</t>
  </si>
  <si>
    <t>TNFSF4</t>
  </si>
  <si>
    <t>ENSG00000117586</t>
  </si>
  <si>
    <t>tumor necrosis factor (ligand) superfamily, member 4 [Source:HGNC Symbol;Acc:HGNC:11934]</t>
  </si>
  <si>
    <t>PTPRC</t>
  </si>
  <si>
    <t>ENSG00000081237</t>
  </si>
  <si>
    <t>protein tyrosine phosphatase, receptor type, C [Source:HGNC Symbol;Acc:HGNC:9666]</t>
  </si>
  <si>
    <t>LAX1</t>
  </si>
  <si>
    <t>ENSG00000122188</t>
  </si>
  <si>
    <t>lymphocyte transmembrane adaptor 1 [Source:HGNC Symbol;Acc:HGNC:26005]</t>
  </si>
  <si>
    <t>RASSF5</t>
  </si>
  <si>
    <t>ENSG00000266094</t>
  </si>
  <si>
    <t>Ras association (RalGDS/AF-6) domain family member 5 [Source:HGNC Symbol;Acc:HGNC:17609]</t>
  </si>
  <si>
    <t>FAIM3</t>
  </si>
  <si>
    <t>ENSG00000162894</t>
  </si>
  <si>
    <t>Fas apoptotic inhibitory molecule 3 [Source:HGNC Symbol;Acc:HGNC:14315]</t>
  </si>
  <si>
    <t>TRAF3IP3</t>
  </si>
  <si>
    <t>ENSG00000009790</t>
  </si>
  <si>
    <t>TRAF3 interacting protein 3 [Source:HGNC Symbol;Acc:HGNC:30766]</t>
  </si>
  <si>
    <t>FAM177B</t>
  </si>
  <si>
    <t>ENSG00000197520</t>
  </si>
  <si>
    <t>family with sequence similarity 177, member B [Source:HGNC Symbol;Acc:HGNC:34395]</t>
  </si>
  <si>
    <t>TLR5</t>
  </si>
  <si>
    <t>ENSG00000187554</t>
  </si>
  <si>
    <t>toll-like receptor 5 [Source:HGNC Symbol;Acc:HGNC:11851]</t>
  </si>
  <si>
    <t>SOX11</t>
  </si>
  <si>
    <t>ENSG00000176887</t>
  </si>
  <si>
    <t>SRY (sex determining region Y)-box 11 [Source:HGNC Symbol;Acc:HGNC:11191]</t>
  </si>
  <si>
    <t>LPIN1</t>
  </si>
  <si>
    <t>ENSG00000134324</t>
  </si>
  <si>
    <t>lipin 1 [Source:HGNC Symbol;Acc:HGNC:13345]</t>
  </si>
  <si>
    <t>CDC42EP3</t>
  </si>
  <si>
    <t>ENSG00000163171</t>
  </si>
  <si>
    <t>CDC42 effector protein (Rho GTPase binding) 3 [Source:HGNC Symbol;Acc:HGNC:16943]</t>
  </si>
  <si>
    <t>SPRED2</t>
  </si>
  <si>
    <t>ENSG00000198369</t>
  </si>
  <si>
    <t>sprouty-related, EVH1 domain containing 2 [Source:HGNC Symbol;Acc:HGNC:17722]</t>
  </si>
  <si>
    <t>TLX2</t>
  </si>
  <si>
    <t>ENSG00000115297</t>
  </si>
  <si>
    <t>T-cell leukemia homeobox 2 [Source:HGNC Symbol;Acc:HGNC:5057]</t>
  </si>
  <si>
    <t>TRABD2A</t>
  </si>
  <si>
    <t>ENSG00000186854</t>
  </si>
  <si>
    <t>TraB domain containing 2A [Source:HGNC Symbol;Acc:HGNC:27013]</t>
  </si>
  <si>
    <t>CD8A</t>
  </si>
  <si>
    <t>ENSG00000153563</t>
  </si>
  <si>
    <t>CD8a molecule [Source:HGNC Symbol;Acc:HGNC:1706]</t>
  </si>
  <si>
    <t>RGPD2</t>
  </si>
  <si>
    <t>ENSG00000185304</t>
  </si>
  <si>
    <t>RANBP2-like and GRIP domain containing 2 [Source:HGNC Symbol;Acc:HGNC:32415]</t>
  </si>
  <si>
    <t>IL18R1</t>
  </si>
  <si>
    <t>ENSG00000115604</t>
  </si>
  <si>
    <t>interleukin 18 receptor 1 [Source:HGNC Symbol;Acc:HGNC:5988]</t>
  </si>
  <si>
    <t>IL18RAP</t>
  </si>
  <si>
    <t>ENSG00000115607</t>
  </si>
  <si>
    <t>interleukin 18 receptor accessory protein [Source:HGNC Symbol;Acc:HGNC:5989]</t>
  </si>
  <si>
    <t>PSD4</t>
  </si>
  <si>
    <t>ENSG00000125637</t>
  </si>
  <si>
    <t>pleckstrin and Sec7 domain containing 4 [Source:HGNC Symbol;Acc:HGNC:19096]</t>
  </si>
  <si>
    <t>ARHGAP15</t>
  </si>
  <si>
    <t>ENSG00000075884</t>
  </si>
  <si>
    <t>Rho GTPase activating protein 15 [Source:HGNC Symbol;Acc:HGNC:21030]</t>
  </si>
  <si>
    <t>ERMN</t>
  </si>
  <si>
    <t>ENSG00000136541</t>
  </si>
  <si>
    <t>ermin, ERM-like protein [Source:HGNC Symbol;Acc:HGNC:29208]</t>
  </si>
  <si>
    <t>CYTIP</t>
  </si>
  <si>
    <t>ENSG00000115165</t>
  </si>
  <si>
    <t>cytohesin 1 interacting protein [Source:HGNC Symbol;Acc:HGNC:9506]</t>
  </si>
  <si>
    <t>LY75-CD302</t>
  </si>
  <si>
    <t>ENSG00000248672</t>
  </si>
  <si>
    <t>LY75-CD302 readthrough [Source:HGNC Symbol;Acc:HGNC:38828]</t>
  </si>
  <si>
    <t>LY75</t>
  </si>
  <si>
    <t>ENSG00000054219</t>
  </si>
  <si>
    <t>lymphocyte antigen 75 [Source:HGNC Symbol;Acc:HGNC:6729]</t>
  </si>
  <si>
    <t>CSRNP3</t>
  </si>
  <si>
    <t>ENSG00000178662</t>
  </si>
  <si>
    <t>cysteine-serine-rich nuclear protein 3 [Source:HGNC Symbol;Acc:HGNC:30729]</t>
  </si>
  <si>
    <t>METAP1D</t>
  </si>
  <si>
    <t>ENSG00000172878</t>
  </si>
  <si>
    <t>methionyl aminopeptidase type 1D (mitochondrial) [Source:HGNC Symbol;Acc:HGNC:32583]</t>
  </si>
  <si>
    <t>DLX1</t>
  </si>
  <si>
    <t>ENSG00000144355</t>
  </si>
  <si>
    <t>distal-less homeobox 1 [Source:HGNC Symbol;Acc:HGNC:2914]</t>
  </si>
  <si>
    <t>CCDC141</t>
  </si>
  <si>
    <t>ENSG00000163492</t>
  </si>
  <si>
    <t>coiled-coil domain containing 141 [Source:HGNC Symbol;Acc:HGNC:26821]</t>
  </si>
  <si>
    <t>SSFA2</t>
  </si>
  <si>
    <t>ENSG00000138434</t>
  </si>
  <si>
    <t>sperm specific antigen 2 [Source:HGNC Symbol;Acc:HGNC:11319]</t>
  </si>
  <si>
    <t>STAT4</t>
  </si>
  <si>
    <t>ENSG00000138378</t>
  </si>
  <si>
    <t>signal transducer and activator of transcription 4 [Source:HGNC Symbol;Acc:HGNC:11365]</t>
  </si>
  <si>
    <t>NABP1</t>
  </si>
  <si>
    <t>ENSG00000173559</t>
  </si>
  <si>
    <t>nucleic acid binding protein 1 [Source:HGNC Symbol;Acc:HGNC:26232]</t>
  </si>
  <si>
    <t>TUBA4A</t>
  </si>
  <si>
    <t>ENSG00000127824</t>
  </si>
  <si>
    <t>tubulin, alpha 4a [Source:HGNC Symbol;Acc:HGNC:12407]</t>
  </si>
  <si>
    <t>SP140</t>
  </si>
  <si>
    <t>ENSG00000079263</t>
  </si>
  <si>
    <t>SP140 nuclear body protein [Source:HGNC Symbol;Acc:HGNC:17133]</t>
  </si>
  <si>
    <t>CNTN6</t>
  </si>
  <si>
    <t>ENSG00000134115</t>
  </si>
  <si>
    <t>contactin 6 [Source:HGNC Symbol;Acc:HGNC:2176]</t>
  </si>
  <si>
    <t>ITPR1</t>
  </si>
  <si>
    <t>ENSG00000150995</t>
  </si>
  <si>
    <t>inositol 1,4,5-trisphosphate receptor, type 1 [Source:HGNC Symbol;Acc:HGNC:6180]</t>
  </si>
  <si>
    <t>BTD</t>
  </si>
  <si>
    <t>ENSG00000169814</t>
  </si>
  <si>
    <t>biotinidase [Source:HGNC Symbol;Acc:HGNC:1122]</t>
  </si>
  <si>
    <t>KAT2B</t>
  </si>
  <si>
    <t>ENSG00000114166</t>
  </si>
  <si>
    <t>K(lysine) acetyltransferase 2B [Source:HGNC Symbol;Acc:HGNC:8638]</t>
  </si>
  <si>
    <t>EOMES</t>
  </si>
  <si>
    <t>ENSG00000163508</t>
  </si>
  <si>
    <t>eomesodermin [Source:HGNC Symbol;Acc:HGNC:3372]</t>
  </si>
  <si>
    <t>CCR2</t>
  </si>
  <si>
    <t>ENSG00000121807</t>
  </si>
  <si>
    <t>chemokine (C-C motif) receptor 2 [Source:HGNC Symbol;Acc:HGNC:1603]</t>
  </si>
  <si>
    <t>CCR5</t>
  </si>
  <si>
    <t>ENSG00000160791</t>
  </si>
  <si>
    <t>chemokine (C-C motif) receptor 5 (gene/pseudogene) [Source:HGNC Symbol;Acc:HGNC:1606]</t>
  </si>
  <si>
    <t>IL17RD</t>
  </si>
  <si>
    <t>ENSG00000144730</t>
  </si>
  <si>
    <t>interleukin 17 receptor D [Source:HGNC Symbol;Acc:HGNC:17616]</t>
  </si>
  <si>
    <t>TRAT1</t>
  </si>
  <si>
    <t>ENSG00000163519</t>
  </si>
  <si>
    <t>T cell receptor associated transmembrane adaptor 1 [Source:HGNC Symbol;Acc:HGNC:30698]</t>
  </si>
  <si>
    <t>CD96</t>
  </si>
  <si>
    <t>ENSG00000153283</t>
  </si>
  <si>
    <t>CD96 molecule [Source:HGNC Symbol;Acc:HGNC:16892]</t>
  </si>
  <si>
    <t>ZBED2</t>
  </si>
  <si>
    <t>ENSG00000177494</t>
  </si>
  <si>
    <t>zinc finger, BED-type containing 2 [Source:HGNC Symbol;Acc:HGNC:20710]</t>
  </si>
  <si>
    <t>BTLA</t>
  </si>
  <si>
    <t>ENSG00000186265</t>
  </si>
  <si>
    <t>B and T lymphocyte associated [Source:HGNC Symbol;Acc:HGNC:21087]</t>
  </si>
  <si>
    <t>SIDT1</t>
  </si>
  <si>
    <t>ENSG00000072858</t>
  </si>
  <si>
    <t>SID1 transmembrane family, member 1 [Source:HGNC Symbol;Acc:HGNC:25967]</t>
  </si>
  <si>
    <t>TIGIT</t>
  </si>
  <si>
    <t>ENSG00000181847</t>
  </si>
  <si>
    <t>T cell immunoreceptor with Ig and ITIM domains [Source:HGNC Symbol;Acc:HGNC:26838]</t>
  </si>
  <si>
    <t>CP</t>
  </si>
  <si>
    <t>ENSG00000047457</t>
  </si>
  <si>
    <t>ceruloplasmin (ferroxidase) [Source:HGNC Symbol;Acc:HGNC:2295]</t>
  </si>
  <si>
    <t>P2RY13</t>
  </si>
  <si>
    <t>ENSG00000181631</t>
  </si>
  <si>
    <t>purinergic receptor P2Y, G-protein coupled, 13 [Source:HGNC Symbol;Acc:HGNC:4537]</t>
  </si>
  <si>
    <t>LAMP3</t>
  </si>
  <si>
    <t>ENSG00000078081</t>
  </si>
  <si>
    <t>lysosomal-associated membrane protein 3 [Source:HGNC Symbol;Acc:HGNC:14582]</t>
  </si>
  <si>
    <t>JAKMIP1</t>
  </si>
  <si>
    <t>ENSG00000152969</t>
  </si>
  <si>
    <t>janus kinase and microtubule interacting protein 1 [Source:HGNC Symbol;Acc:HGNC:26460]</t>
  </si>
  <si>
    <t>CD38</t>
  </si>
  <si>
    <t>ENSG00000004468</t>
  </si>
  <si>
    <t>CD38 molecule [Source:HGNC Symbol;Acc:HGNC:1667]</t>
  </si>
  <si>
    <t>DTHD1</t>
  </si>
  <si>
    <t>ENSG00000197057</t>
  </si>
  <si>
    <t>death domain containing 1 [Source:HGNC Symbol;Acc:HGNC:37261]</t>
  </si>
  <si>
    <t>PTTG2</t>
  </si>
  <si>
    <t>ENSG00000250254</t>
  </si>
  <si>
    <t>pituitary tumor-transforming 2 [Source:HGNC Symbol;Acc:HGNC:9691]</t>
  </si>
  <si>
    <t>TLR10</t>
  </si>
  <si>
    <t>ENSG00000174123</t>
  </si>
  <si>
    <t>toll-like receptor 10 [Source:HGNC Symbol;Acc:HGNC:15634]</t>
  </si>
  <si>
    <t>ATP8A1</t>
  </si>
  <si>
    <t>ENSG00000124406</t>
  </si>
  <si>
    <t>ATPase, aminophospholipid transporter (APLT), class I, type 8A, member 1 [Source:HGNC Symbol;Acc:HGNC:13531]</t>
  </si>
  <si>
    <t>TXK</t>
  </si>
  <si>
    <t>ENSG00000074966</t>
  </si>
  <si>
    <t>TXK tyrosine kinase [Source:HGNC Symbol;Acc:HGNC:12434]</t>
  </si>
  <si>
    <t>SULT1E1</t>
  </si>
  <si>
    <t>ENSG00000109193</t>
  </si>
  <si>
    <t>sulfotransferase family 1E, estrogen- preferring, member 1 [Source:HGNC Symbol;Acc:HGNC:11377]</t>
  </si>
  <si>
    <t>FDCSP</t>
  </si>
  <si>
    <t>ENSG00000181617</t>
  </si>
  <si>
    <t>follicular dendritic cell secreted protein [Source:HGNC Symbol;Acc:HGNC:19215]</t>
  </si>
  <si>
    <t>NAAA</t>
  </si>
  <si>
    <t>ENSG00000138744</t>
  </si>
  <si>
    <t>N-acylethanolamine acid amidase [Source:HGNC Symbol;Acc:HGNC:736]</t>
  </si>
  <si>
    <t>CXCL9</t>
  </si>
  <si>
    <t>ENSG00000138755</t>
  </si>
  <si>
    <t>chemokine (C-X-C motif) ligand 9 [Source:HGNC Symbol;Acc:HGNC:7098]</t>
  </si>
  <si>
    <t>CXCL13</t>
  </si>
  <si>
    <t>ENSG00000156234</t>
  </si>
  <si>
    <t>chemokine (C-X-C motif) ligand 13 [Source:HGNC Symbol;Acc:HGNC:10639]</t>
  </si>
  <si>
    <t>PLAC8</t>
  </si>
  <si>
    <t>ENSG00000145287</t>
  </si>
  <si>
    <t>placenta-specific 8 [Source:HGNC Symbol;Acc:HGNC:19254]</t>
  </si>
  <si>
    <t>DAPP1</t>
  </si>
  <si>
    <t>ENSG00000070190</t>
  </si>
  <si>
    <t>dual adaptor of phosphotyrosine and 3- phosphoinositides [Source:HGNC Symbol;Acc:HGNC:16500]</t>
  </si>
  <si>
    <t>BANK1</t>
  </si>
  <si>
    <t>ENSG00000153064</t>
  </si>
  <si>
    <t>B-cell scaffold protein with ankyrin repeats 1 [Source:HGNC Symbol;Acc:HGNC:18233]</t>
  </si>
  <si>
    <t>TNIP3</t>
  </si>
  <si>
    <t>ENSG00000050730</t>
  </si>
  <si>
    <t>TNFAIP3 interacting protein 3 [Source:HGNC Symbol;Acc:HGNC:19315]</t>
  </si>
  <si>
    <t>DCHS2</t>
  </si>
  <si>
    <t>ENSG00000197410</t>
  </si>
  <si>
    <t>dachsous cadherin-related 2 [Source:HGNC Symbol;Acc:HGNC:23111]</t>
  </si>
  <si>
    <t>TMEM144</t>
  </si>
  <si>
    <t>ENSG00000164124</t>
  </si>
  <si>
    <t>transmembrane protein 144 [Source:HGNC Symbol;Acc:HGNC:25633]</t>
  </si>
  <si>
    <t>C1QTNF3</t>
  </si>
  <si>
    <t>ENSG00000082196</t>
  </si>
  <si>
    <t>C1q and tumor necrosis factor related protein 3 [Source:HGNC Symbol;Acc:HGNC:14326]</t>
  </si>
  <si>
    <t>IL7R</t>
  </si>
  <si>
    <t>ENSG00000168685</t>
  </si>
  <si>
    <t>interleukin 7 receptor [Source:HGNC Symbol;Acc:HGNC:6024]</t>
  </si>
  <si>
    <t>GZMK</t>
  </si>
  <si>
    <t>ENSG00000113088</t>
  </si>
  <si>
    <t>granzyme K (granzyme 3; tryptase II) [Source:HGNC Symbol;Acc:HGNC:4711]</t>
  </si>
  <si>
    <t>GAPT</t>
  </si>
  <si>
    <t>ENSG00000175857</t>
  </si>
  <si>
    <t>GRB2-binding adaptor protein, transmembrane [Source:HGNC Symbol;Acc:HGNC:26588]</t>
  </si>
  <si>
    <t>RNF180</t>
  </si>
  <si>
    <t>ENSG00000164197</t>
  </si>
  <si>
    <t>ring finger protein 180 [Source:HGNC Symbol;Acc:HGNC:27752]</t>
  </si>
  <si>
    <t>MAN2A1</t>
  </si>
  <si>
    <t>ENSG00000112893</t>
  </si>
  <si>
    <t>mannosidase, alpha, class 2A, member 1 [Source:HGNC Symbol;Acc:HGNC:6824]</t>
  </si>
  <si>
    <t>TRIM36</t>
  </si>
  <si>
    <t>ENSG00000152503</t>
  </si>
  <si>
    <t>tripartite motif containing 36 [Source:HGNC Symbol;Acc:HGNC:16280]</t>
  </si>
  <si>
    <t>CDC42SE2</t>
  </si>
  <si>
    <t>ENSG00000158985</t>
  </si>
  <si>
    <t>CDC42 small effector 2 [Source:HGNC Symbol;Acc:HGNC:18547]</t>
  </si>
  <si>
    <t>C5orf56</t>
  </si>
  <si>
    <t>ENSG00000197536</t>
  </si>
  <si>
    <t>chromosome 5 open reading frame 56 [Source:HGNC Symbol;Acc:HGNC:33838]</t>
  </si>
  <si>
    <t>IRF1</t>
  </si>
  <si>
    <t>ENSG00000125347</t>
  </si>
  <si>
    <t>interferon regulatory factor 1 [Source:HGNC Symbol;Acc:HGNC:6116]</t>
  </si>
  <si>
    <t>CCDC69</t>
  </si>
  <si>
    <t>ENSG00000198624</t>
  </si>
  <si>
    <t>coiled-coil domain containing 69 [Source:HGNC Symbol;Acc:HGNC:24487]</t>
  </si>
  <si>
    <t>HAVCR1</t>
  </si>
  <si>
    <t>ENSG00000113249</t>
  </si>
  <si>
    <t>hepatitis A virus cellular receptor 1 [Source:HGNC Symbol;Acc:HGNC:17866]</t>
  </si>
  <si>
    <t>ITK</t>
  </si>
  <si>
    <t>ENSG00000113263</t>
  </si>
  <si>
    <t>IL2-inducible T-cell kinase [Source:HGNC Symbol;Acc:HGNC:6171]</t>
  </si>
  <si>
    <t>FNDC9</t>
  </si>
  <si>
    <t>ENSG00000172568</t>
  </si>
  <si>
    <t>fibronectin type III domain containing 9 [Source:HGNC Symbol;Acc:HGNC:33547]</t>
  </si>
  <si>
    <t>WWC1</t>
  </si>
  <si>
    <t>ENSG00000113645</t>
  </si>
  <si>
    <t>WW and C2 domain containing 1 [Source:HGNC Symbol;Acc:HGNC:29435]</t>
  </si>
  <si>
    <t>DOCK2</t>
  </si>
  <si>
    <t>ENSG00000134516</t>
  </si>
  <si>
    <t>dedicator of cytokinesis 2 [Source:HGNC Symbol;Acc:HGNC:2988]</t>
  </si>
  <si>
    <t>CPEB4</t>
  </si>
  <si>
    <t>ENSG00000113742</t>
  </si>
  <si>
    <t>cytoplasmic polyadenylation element binding protein 4 [Source:HGNC Symbol;Acc:HGNC:21747]</t>
  </si>
  <si>
    <t>GFOD1</t>
  </si>
  <si>
    <t>ENSG00000145990</t>
  </si>
  <si>
    <t>glucose-fructose oxidoreductase domain containing 1 [Source:HGNC Symbol;Acc:HGNC:21096]</t>
  </si>
  <si>
    <t>RNF144B</t>
  </si>
  <si>
    <t>ENSG00000137393</t>
  </si>
  <si>
    <t>ring finger protein 144B [Source:HGNC Symbol;Acc:HGNC:21578]</t>
  </si>
  <si>
    <t>FAM65B</t>
  </si>
  <si>
    <t>ENSG00000111913</t>
  </si>
  <si>
    <t>family with sequence similarity 65, member B [Source:HGNC Symbol;Acc:HGNC:13872]</t>
  </si>
  <si>
    <t>BTN3A2</t>
  </si>
  <si>
    <t>ENSG00000186470</t>
  </si>
  <si>
    <t>butyrophilin, subfamily 3, member A2 [Source:HGNC Symbol;Acc:HGNC:1139]</t>
  </si>
  <si>
    <t>BTN3A1</t>
  </si>
  <si>
    <t>ENSG00000026950</t>
  </si>
  <si>
    <t>butyrophilin, subfamily 3, member A1 [Source:HGNC Symbol;Acc:HGNC:1138]</t>
  </si>
  <si>
    <t>OR2B2</t>
  </si>
  <si>
    <t>ENSG00000168131</t>
  </si>
  <si>
    <t>olfactory receptor, family 2, subfamily B, member 2 [Source:HGNC Symbol;Acc:HGNC:13966]</t>
  </si>
  <si>
    <t>OR2B6</t>
  </si>
  <si>
    <t>ENSG00000124657</t>
  </si>
  <si>
    <t>olfactory receptor, family 2, subfamily B, member 6 [Source:HGNC Symbol;Acc:HGNC:8241]</t>
  </si>
  <si>
    <t>UBD</t>
  </si>
  <si>
    <t>ENSG00000213886</t>
  </si>
  <si>
    <t>ubiquitin D [Source:HGNC Symbol;Acc:HGNC:18795]</t>
  </si>
  <si>
    <t>HLA-F</t>
  </si>
  <si>
    <t>ENSG00000204642</t>
  </si>
  <si>
    <t>major histocompatibility complex, class I, F [Source:HGNC Symbol;Acc:HGNC:4963]</t>
  </si>
  <si>
    <t>HLA-F-AS1</t>
  </si>
  <si>
    <t>ENSG00000214922</t>
  </si>
  <si>
    <t>HLA-F antisense RNA 1 [Source:HGNC Symbol;Acc:HGNC:26645]</t>
  </si>
  <si>
    <t>PSMB9</t>
  </si>
  <si>
    <t>ENSG00000240065</t>
  </si>
  <si>
    <t>proteasome (prosome, macropain) subunit, beta type, 9 [Source:HGNC Symbol;Acc:HGNC:9546]</t>
  </si>
  <si>
    <t>ETV7</t>
  </si>
  <si>
    <t>ENSG00000010030</t>
  </si>
  <si>
    <t>ets variant 7 [Source:HGNC Symbol;Acc:HGNC:18160]</t>
  </si>
  <si>
    <t>MLIP</t>
  </si>
  <si>
    <t>ENSG00000146147</t>
  </si>
  <si>
    <t>muscular LMNA-interacting protein [Source:HGNC Symbol;Acc:HGNC:21355]</t>
  </si>
  <si>
    <t>OGFRL1</t>
  </si>
  <si>
    <t>ENSG00000119900</t>
  </si>
  <si>
    <t>opioid growth factor receptor-like 1 [Source:HGNC Symbol;Acc:HGNC:21378]</t>
  </si>
  <si>
    <t>AK9</t>
  </si>
  <si>
    <t>ENSG00000155085</t>
  </si>
  <si>
    <t>adenylate kinase 9 [Source:HGNC Symbol;Acc:HGNC:33814]</t>
  </si>
  <si>
    <t>FAM26F</t>
  </si>
  <si>
    <t>ENSG00000188820</t>
  </si>
  <si>
    <t>family with sequence similarity 26, member F [Source:HGNC Symbol;Acc:HGNC:33391]</t>
  </si>
  <si>
    <t>THEMIS</t>
  </si>
  <si>
    <t>ENSG00000172673</t>
  </si>
  <si>
    <t>thymocyte selection associated [Source:HGNC Symbol;Acc:HGNC:21569]</t>
  </si>
  <si>
    <t>SAMD3</t>
  </si>
  <si>
    <t>ENSG00000164483</t>
  </si>
  <si>
    <t>sterile alpha motif domain containing 3 [Source:HGNC Symbol;Acc:HGNC:21574]</t>
  </si>
  <si>
    <t>VNN2</t>
  </si>
  <si>
    <t>ENSG00000112303</t>
  </si>
  <si>
    <t>vanin 2 [Source:HGNC Symbol;Acc:HGNC:12706]</t>
  </si>
  <si>
    <t>PDE7B</t>
  </si>
  <si>
    <t>ENSG00000171408</t>
  </si>
  <si>
    <t>phosphodiesterase 7B [Source:HGNC Symbol;Acc:HGNC:8792]</t>
  </si>
  <si>
    <t>IFNGR1</t>
  </si>
  <si>
    <t>ENSG00000027697</t>
  </si>
  <si>
    <t>interferon gamma receptor 1 [Source:HGNC Symbol;Acc:HGNC:5439]</t>
  </si>
  <si>
    <t>TNFAIP3</t>
  </si>
  <si>
    <t>ENSG00000118503</t>
  </si>
  <si>
    <t>tumor necrosis factor, alpha-induced protein 3 [Source:HGNC Symbol;Acc:HGNC:11896]</t>
  </si>
  <si>
    <t>HIVEP2</t>
  </si>
  <si>
    <t>ENSG00000010818</t>
  </si>
  <si>
    <t>human immunodeficiency virus type I enhancer binding protein 2 [Source:HGNC Symbol;Acc:HGNC:4921]</t>
  </si>
  <si>
    <t>SUMO4</t>
  </si>
  <si>
    <t>ENSG00000177688</t>
  </si>
  <si>
    <t>small ubiquitin-like modifier 4 [Source:HGNC Symbol;Acc:HGNC:21181]</t>
  </si>
  <si>
    <t>PLEKHG1</t>
  </si>
  <si>
    <t>ENSG00000120278</t>
  </si>
  <si>
    <t>pleckstrin homology domain containing, family G (with RhoGef domain) member 1 [Source:HGNC Symbol;Acc:HGNC:20884]</t>
  </si>
  <si>
    <t>IPCEF1</t>
  </si>
  <si>
    <t>ENSG00000074706</t>
  </si>
  <si>
    <t>interaction protein for cytohesin exchange factors 1 [Source:HGNC Symbol;Acc:HGNC:21204]</t>
  </si>
  <si>
    <t>TAGAP</t>
  </si>
  <si>
    <t>ENSG00000164691</t>
  </si>
  <si>
    <t>T-cell activation RhoGTPase activating protein [Source:HGNC Symbol;Acc:HGNC:15669]</t>
  </si>
  <si>
    <t>C7orf31</t>
  </si>
  <si>
    <t>ENSG00000153790</t>
  </si>
  <si>
    <t>chromosome 7 open reading frame 31 [Source:HGNC Symbol;Acc:HGNC:21722]</t>
  </si>
  <si>
    <t>TRIL</t>
  </si>
  <si>
    <t>ENSG00000255690</t>
  </si>
  <si>
    <t>TLR4 interactor with leucine-rich repeats [Source:HGNC Symbol;Acc:HGNC:22200]</t>
  </si>
  <si>
    <t>AOAH</t>
  </si>
  <si>
    <t>ENSG00000136250</t>
  </si>
  <si>
    <t>acyloxyacyl hydrolase (neutrophil) [Source:HGNC Symbol;Acc:HGNC:548]</t>
  </si>
  <si>
    <t>NME8</t>
  </si>
  <si>
    <t>ENSG00000086288</t>
  </si>
  <si>
    <t>NME/NM23 family member 8 [Source:HGNC Symbol;Acc:HGNC:16473]</t>
  </si>
  <si>
    <t>TRGC2</t>
  </si>
  <si>
    <t>ENSG00000227191</t>
  </si>
  <si>
    <t>T cell receptor gamma constant 2 [Source:HGNC Symbol;Acc:HGNC:12276]</t>
  </si>
  <si>
    <t>TRGV5</t>
  </si>
  <si>
    <t>ENSG00000211697</t>
  </si>
  <si>
    <t>T cell receptor gamma variable 5 [Source:HGNC Symbol;Acc:HGNC:12290]</t>
  </si>
  <si>
    <t>TRGV3</t>
  </si>
  <si>
    <t>ENSG00000211699</t>
  </si>
  <si>
    <t>T cell receptor gamma variable 3 [Source:HGNC Symbol;Acc:HGNC:12288]</t>
  </si>
  <si>
    <t>TRGV1</t>
  </si>
  <si>
    <t>ENSG00000211701</t>
  </si>
  <si>
    <t>T cell receptor gamma variable 1 (non- functional) [Source:HGNC Symbol;Acc:HGNC:12284]</t>
  </si>
  <si>
    <t>IKZF1</t>
  </si>
  <si>
    <t>ENSG00000185811</t>
  </si>
  <si>
    <t>IKAROS family zinc finger 1 (Ikaros) [Source:HGNC Symbol;Acc:HGNC:13176]</t>
  </si>
  <si>
    <t>ABCB1</t>
  </si>
  <si>
    <t>ENSG00000085563</t>
  </si>
  <si>
    <t>ATP-binding cassette, sub-family B (MDR/TAP), member 1 [Source:HGNC Symbol;Acc:HGNC:40]</t>
  </si>
  <si>
    <t>TFR2</t>
  </si>
  <si>
    <t>ENSG00000106327</t>
  </si>
  <si>
    <t>transferrin receptor 2 [Source:HGNC Symbol;Acc:HGNC:11762]</t>
  </si>
  <si>
    <t>RELN</t>
  </si>
  <si>
    <t>ENSG00000189056</t>
  </si>
  <si>
    <t>reelin [Source:HGNC Symbol;Acc:HGNC:9957]</t>
  </si>
  <si>
    <t>PIK3CG</t>
  </si>
  <si>
    <t>ENSG00000105851</t>
  </si>
  <si>
    <t>phosphatidylinositol-4,5-bisphosphate 3- kinase, catalytic subunit gamma [Source:HGNC Symbol;Acc:HGNC:8978]</t>
  </si>
  <si>
    <t>CADPS2</t>
  </si>
  <si>
    <t>ENSG00000081803</t>
  </si>
  <si>
    <t>Ca++-dependent secretion activator 2 [Source:HGNC Symbol;Acc:HGNC:16018]</t>
  </si>
  <si>
    <t>TSPAN33</t>
  </si>
  <si>
    <t>ENSG00000158457</t>
  </si>
  <si>
    <t>tetraspanin 33 [Source:HGNC Symbol;Acc:HGNC:28743]</t>
  </si>
  <si>
    <t>TRBV25-1</t>
  </si>
  <si>
    <t>ENSG00000211751</t>
  </si>
  <si>
    <t>T cell receptor beta variable 25-1 [Source:HGNC Symbol;Acc:HGNC:12205]</t>
  </si>
  <si>
    <t>TRBC2</t>
  </si>
  <si>
    <t>ENSG00000211772</t>
  </si>
  <si>
    <t>T cell receptor beta constant 2 [Source:HGNC Symbol;Acc:HGNC:12157]</t>
  </si>
  <si>
    <t>TRBV28</t>
  </si>
  <si>
    <t>ENSG00000211753</t>
  </si>
  <si>
    <t>T cell receptor beta variable 28 [Source:HGNC Symbol;Acc:HGNC:12209]</t>
  </si>
  <si>
    <t>GIMAP7</t>
  </si>
  <si>
    <t>ENSG00000179144</t>
  </si>
  <si>
    <t>GTPase, IMAP family member 7 [Source:HGNC Symbol;Acc:HGNC:22404]</t>
  </si>
  <si>
    <t>GIMAP4</t>
  </si>
  <si>
    <t>ENSG00000133574</t>
  </si>
  <si>
    <t>GTPase, IMAP family member 4 [Source:HGNC Symbol;Acc:HGNC:21872]</t>
  </si>
  <si>
    <t>GIMAP5</t>
  </si>
  <si>
    <t>ENSG00000196329</t>
  </si>
  <si>
    <t>GTPase, IMAP family member 5 [Source:HGNC Symbol;Acc:HGNC:18005]</t>
  </si>
  <si>
    <t>TNFRSF10A</t>
  </si>
  <si>
    <t>ENSG00000104689</t>
  </si>
  <si>
    <t>tumor necrosis factor receptor superfamily, member 10a [Source:HGNC Symbol;Acc:HGNC:11904]</t>
  </si>
  <si>
    <t>ADAM28</t>
  </si>
  <si>
    <t>ENSG00000042980</t>
  </si>
  <si>
    <t>ADAM metallopeptidase domain 28 [Source:HGNC Symbol;Acc:HGNC:206]</t>
  </si>
  <si>
    <t>PTK2B</t>
  </si>
  <si>
    <t>ENSG00000120899</t>
  </si>
  <si>
    <t>protein tyrosine kinase 2 beta [Source:HGNC Symbol;Acc:HGNC:9612]</t>
  </si>
  <si>
    <t>NUGGC</t>
  </si>
  <si>
    <t>ENSG00000189233</t>
  </si>
  <si>
    <t>nuclear GTPase, germinal center associated [Source:HGNC Symbol;Acc:HGNC:33550]</t>
  </si>
  <si>
    <t>IDO1</t>
  </si>
  <si>
    <t>ENSG00000131203</t>
  </si>
  <si>
    <t>indoleamine 2,3-dioxygenase 1 [Source:HGNC Symbol;Acc:HGNC:6059]</t>
  </si>
  <si>
    <t>LYN</t>
  </si>
  <si>
    <t>ENSG00000254087</t>
  </si>
  <si>
    <t>LYN proto-oncogene, Src family tyrosine kinase [Source:HGNC Symbol;Acc:HGNC:6735]</t>
  </si>
  <si>
    <t>ANGPT1</t>
  </si>
  <si>
    <t>ENSG00000154188</t>
  </si>
  <si>
    <t>angiopoietin 1 [Source:HGNC Symbol;Acc:HGNC:484]</t>
  </si>
  <si>
    <t>CSMD3</t>
  </si>
  <si>
    <t>ENSG00000164796</t>
  </si>
  <si>
    <t>CUB and Sushi multiple domains 3 [Source:HGNC Symbol;Acc:HGNC:19291]</t>
  </si>
  <si>
    <t>SAMD12</t>
  </si>
  <si>
    <t>ENSG00000279535</t>
  </si>
  <si>
    <t>sterile alpha motif domain containing 12 [Source:EntrezGene;Acc:401474]</t>
  </si>
  <si>
    <t>TMEM71</t>
  </si>
  <si>
    <t>ENSG00000165071</t>
  </si>
  <si>
    <t>transmembrane protein 71 [Source:HGNC Symbol;Acc:HGNC:26572]</t>
  </si>
  <si>
    <t>JAK2</t>
  </si>
  <si>
    <t>ENSG00000096968</t>
  </si>
  <si>
    <t>Janus kinase 2 [Source:HGNC Symbol;Acc:HGNC:6192]</t>
  </si>
  <si>
    <t>CD274</t>
  </si>
  <si>
    <t>ENSG00000120217</t>
  </si>
  <si>
    <t>CD274 molecule [Source:HGNC Symbol;Acc:HGNC:17635]</t>
  </si>
  <si>
    <t>PIP5K1B</t>
  </si>
  <si>
    <t>ENSG00000107242</t>
  </si>
  <si>
    <t>phosphatidylinositol-4-phosphate 5-kinase, type I, beta [Source:HGNC Symbol;Acc:HGNC:8995]</t>
  </si>
  <si>
    <t>PRUNE2</t>
  </si>
  <si>
    <t>ENSG00000106772</t>
  </si>
  <si>
    <t>prune homolog 2 (Drosophila) [Source:HGNC Symbol;Acc:HGNC:25209]</t>
  </si>
  <si>
    <t>GTF3C5</t>
  </si>
  <si>
    <t>ENSG00000148308</t>
  </si>
  <si>
    <t>general transcription factor IIIC, polypeptide 5, 63kDa [Source:HGNC Symbol;Acc:HGNC:4668]</t>
  </si>
  <si>
    <t>GPSM1</t>
  </si>
  <si>
    <t>ENSG00000160360</t>
  </si>
  <si>
    <t>G-protein signaling modulator 1 [Source:HGNC Symbol;Acc:HGNC:17858]</t>
  </si>
  <si>
    <t>DPH7</t>
  </si>
  <si>
    <t>ENSG00000148399</t>
  </si>
  <si>
    <t>diphthamide biosynthesis 7 [Source:HGNC Symbol;Acc:HGNC:25199]</t>
  </si>
  <si>
    <t>WDR37</t>
  </si>
  <si>
    <t>ENSG00000047056</t>
  </si>
  <si>
    <t>WD repeat domain 37 [Source:HGNC Symbol;Acc:HGNC:31406]</t>
  </si>
  <si>
    <t>PITRM1</t>
  </si>
  <si>
    <t>ENSG00000107959</t>
  </si>
  <si>
    <t>pitrilysin metallopeptidase 1 [Source:HGNC Symbol;Acc:HGNC:17663]</t>
  </si>
  <si>
    <t>PITRM1-AS1</t>
  </si>
  <si>
    <t>ENSG00000237399</t>
  </si>
  <si>
    <t>PITRM1 antisense RNA 1 [Source:HGNC Symbol;Acc:HGNC:44675]</t>
  </si>
  <si>
    <t>IL15RA</t>
  </si>
  <si>
    <t>ENSG00000134470</t>
  </si>
  <si>
    <t>interleukin 15 receptor, alpha [Source:HGNC Symbol;Acc:HGNC:5978]</t>
  </si>
  <si>
    <t>PRKCQ</t>
  </si>
  <si>
    <t>ENSG00000065675</t>
  </si>
  <si>
    <t>protein kinase C, theta [Source:HGNC Symbol;Acc:HGNC:9410]</t>
  </si>
  <si>
    <t>WDFY4</t>
  </si>
  <si>
    <t>ENSG00000128815</t>
  </si>
  <si>
    <t>WDFY family member 4 [Source:HGNC Symbol;Acc:HGNC:29323]</t>
  </si>
  <si>
    <t>LRRC18</t>
  </si>
  <si>
    <t>ENSG00000165383</t>
  </si>
  <si>
    <t>leucine rich repeat containing 18 [Source:HGNC Symbol;Acc:HGNC:23199]</t>
  </si>
  <si>
    <t>PRF1</t>
  </si>
  <si>
    <t>ENSG00000180644</t>
  </si>
  <si>
    <t>perforin 1 (pore forming protein) [Source:HGNC Symbol;Acc:HGNC:9360]</t>
  </si>
  <si>
    <t>CDH23</t>
  </si>
  <si>
    <t>ENSG00000107736</t>
  </si>
  <si>
    <t>cadherin-related 23 [Source:HGNC Symbol;Acc:HGNC:13733]</t>
  </si>
  <si>
    <t>SPOCK2</t>
  </si>
  <si>
    <t>ENSG00000107742</t>
  </si>
  <si>
    <t>sparc/osteonectin, cwcv and kazal-like domains proteoglycan (testican) 2 [Source:HGNC Symbol;Acc:HGNC:13564]</t>
  </si>
  <si>
    <t>ANKRD22</t>
  </si>
  <si>
    <t>ENSG00000152766</t>
  </si>
  <si>
    <t>ankyrin repeat domain 22 [Source:HGNC Symbol;Acc:HGNC:28321]</t>
  </si>
  <si>
    <t>CYP26A1</t>
  </si>
  <si>
    <t>ENSG00000095596</t>
  </si>
  <si>
    <t>cytochrome P450, family 26, subfamily A, polypeptide 1 [Source:HGNC Symbol;Acc:HGNC:2603]</t>
  </si>
  <si>
    <t>C10orf131</t>
  </si>
  <si>
    <t>ENSG00000173088</t>
  </si>
  <si>
    <t>chromosome 10 open reading frame 131 [Source:HGNC Symbol;Acc:HGNC:31667]</t>
  </si>
  <si>
    <t>ACSL5</t>
  </si>
  <si>
    <t>ENSG00000197142</t>
  </si>
  <si>
    <t>acyl-CoA synthetase long-chain family member 5 [Source:HGNC Symbol;Acc:HGNC:16526]</t>
  </si>
  <si>
    <t>CCDC186</t>
  </si>
  <si>
    <t>ENSG00000165813</t>
  </si>
  <si>
    <t>coiled-coil domain containing 186 [Source:HGNC Symbol;Acc:HGNC:24349]</t>
  </si>
  <si>
    <t>ANO9</t>
  </si>
  <si>
    <t>ENSG00000185101</t>
  </si>
  <si>
    <t>anoctamin 9 [Source:HGNC Symbol;Acc:HGNC:20679]</t>
  </si>
  <si>
    <t>EPS8L2</t>
  </si>
  <si>
    <t>ENSG00000177106</t>
  </si>
  <si>
    <t>EPS8-like 2 [Source:HGNC Symbol;Acc:HGNC:21296]</t>
  </si>
  <si>
    <t>TRIM22</t>
  </si>
  <si>
    <t>ENSG00000132274</t>
  </si>
  <si>
    <t>tripartite motif containing 22 [Source:HGNC Symbol;Acc:HGNC:16379]</t>
  </si>
  <si>
    <t>MS4A1</t>
  </si>
  <si>
    <t>ENSG00000156738</t>
  </si>
  <si>
    <t>membrane-spanning 4-domains, subfamily A, member 1 [Source:HGNC Symbol;Acc:HGNC:7315]</t>
  </si>
  <si>
    <t>CD6</t>
  </si>
  <si>
    <t>ENSG00000013725</t>
  </si>
  <si>
    <t>CD6 molecule [Source:HGNC Symbol;Acc:HGNC:1691]</t>
  </si>
  <si>
    <t>CD5</t>
  </si>
  <si>
    <t>ENSG00000110448</t>
  </si>
  <si>
    <t>CD5 molecule [Source:HGNC Symbol;Acc:HGNC:1685]</t>
  </si>
  <si>
    <t>RCOR2</t>
  </si>
  <si>
    <t>ENSG00000167771</t>
  </si>
  <si>
    <t>REST corepressor 2 [Source:HGNC Symbol;Acc:HGNC:27455]</t>
  </si>
  <si>
    <t>CTSW</t>
  </si>
  <si>
    <t>ENSG00000172543</t>
  </si>
  <si>
    <t>cathepsin W [Source:HGNC Symbol;Acc:HGNC:2546]</t>
  </si>
  <si>
    <t>SYTL2</t>
  </si>
  <si>
    <t>ENSG00000137501</t>
  </si>
  <si>
    <t>synaptotagmin-like 2 [Source:HGNC Symbol;Acc:HGNC:15585]</t>
  </si>
  <si>
    <t>BIRC3</t>
  </si>
  <si>
    <t>ENSG00000023445</t>
  </si>
  <si>
    <t>baculoviral IAP repeat containing 3 [Source:HGNC Symbol;Acc:HGNC:591]</t>
  </si>
  <si>
    <t>MMP12</t>
  </si>
  <si>
    <t>ENSG00000262406</t>
  </si>
  <si>
    <t>matrix metallopeptidase 12 (macrophage elastase) [Source:HGNC Symbol;Acc:HGNC:7158]</t>
  </si>
  <si>
    <t>CASP5</t>
  </si>
  <si>
    <t>ENSG00000137757</t>
  </si>
  <si>
    <t>caspase 5, apoptosis-related cysteine peptidase [Source:HGNC Symbol;Acc:HGNC:1506]</t>
  </si>
  <si>
    <t>AMICA1</t>
  </si>
  <si>
    <t>ENSG00000160593</t>
  </si>
  <si>
    <t>adhesion molecule, interacts with CXADR antigen 1 [Source:HGNC Symbol;Acc:HGNC:19084]</t>
  </si>
  <si>
    <t>CD3E</t>
  </si>
  <si>
    <t>ENSG00000198851</t>
  </si>
  <si>
    <t>CD3e molecule, epsilon (CD3-TCR complex) [Source:HGNC Symbol;Acc:HGNC:1674]</t>
  </si>
  <si>
    <t>CD3G</t>
  </si>
  <si>
    <t>ENSG00000160654</t>
  </si>
  <si>
    <t>CD3g molecule, gamma (CD3-TCR complex) [Source:HGNC Symbol;Acc:HGNC:1675]</t>
  </si>
  <si>
    <t>CRTAM</t>
  </si>
  <si>
    <t>ENSG00000109943</t>
  </si>
  <si>
    <t>cytotoxic and regulatory T cell molecule [Source:HGNC Symbol;Acc:HGNC:24313]</t>
  </si>
  <si>
    <t>VWA5A</t>
  </si>
  <si>
    <t>ENSG00000110002</t>
  </si>
  <si>
    <t>von Willebrand factor A domain containing 5A [Source:HGNC Symbol;Acc:HGNC:6658]</t>
  </si>
  <si>
    <t>CCND2</t>
  </si>
  <si>
    <t>ENSG00000118971</t>
  </si>
  <si>
    <t>cyclin D2 [Source:HGNC Symbol;Acc:HGNC:1583]</t>
  </si>
  <si>
    <t>CLEC4E</t>
  </si>
  <si>
    <t>ENSG00000166523</t>
  </si>
  <si>
    <t>C-type lectin domain family 4, member E [Source:HGNC Symbol;Acc:HGNC:14555]</t>
  </si>
  <si>
    <t>CD69</t>
  </si>
  <si>
    <t>ENSG00000110848</t>
  </si>
  <si>
    <t>CD69 molecule [Source:HGNC Symbol;Acc:HGNC:1694]</t>
  </si>
  <si>
    <t>KLRD1</t>
  </si>
  <si>
    <t>ENSG00000134539</t>
  </si>
  <si>
    <t>killer cell lectin-like receptor subfamily D, member 1 [Source:HGNC Symbol;Acc:HGNC:6378]</t>
  </si>
  <si>
    <t>ERP27</t>
  </si>
  <si>
    <t>ENSG00000139055</t>
  </si>
  <si>
    <t>endoplasmic reticulum protein 27 [Source:HGNC Symbol;Acc:HGNC:26495]</t>
  </si>
  <si>
    <t>LRMP</t>
  </si>
  <si>
    <t>ENSG00000118308</t>
  </si>
  <si>
    <t>lymphoid-restricted membrane protein [Source:HGNC Symbol;Acc:HGNC:6690]</t>
  </si>
  <si>
    <t>TSPAN11</t>
  </si>
  <si>
    <t>ENSG00000110900</t>
  </si>
  <si>
    <t>tetraspanin 11 [Source:HGNC Symbol;Acc:HGNC:30795]</t>
  </si>
  <si>
    <t>ABCD2</t>
  </si>
  <si>
    <t>ENSG00000173208</t>
  </si>
  <si>
    <t>ATP-binding cassette, sub-family D (ALD), member 2 [Source:HGNC Symbol;Acc:HGNC:66]</t>
  </si>
  <si>
    <t>LRRK2</t>
  </si>
  <si>
    <t>ENSG00000188906</t>
  </si>
  <si>
    <t>leucine-rich repeat kinase 2 [Source:HGNC Symbol;Acc:HGNC:18618]</t>
  </si>
  <si>
    <t>BIN2</t>
  </si>
  <si>
    <t>ENSG00000110934</t>
  </si>
  <si>
    <t>bridging integrator 2 [Source:HGNC Symbol;Acc:HGNC:1053]</t>
  </si>
  <si>
    <t>TESPA1</t>
  </si>
  <si>
    <t>ENSG00000135426</t>
  </si>
  <si>
    <t>thymocyte expressed, positive selection associated 1 [Source:HGNC Symbol;Acc:HGNC:29109]</t>
  </si>
  <si>
    <t>LGR5</t>
  </si>
  <si>
    <t>ENSG00000139292</t>
  </si>
  <si>
    <t>leucine-rich repeat containing G protein- coupled receptor 5 [Source:HGNC Symbol;Acc:HGNC:4504]</t>
  </si>
  <si>
    <t>GNPTAB</t>
  </si>
  <si>
    <t>ENSG00000111670</t>
  </si>
  <si>
    <t>N-acetylglucosamine-1-phosphate transferase, alpha and beta subunits [Source:HGNC Symbol;Acc:HGNC:29670]</t>
  </si>
  <si>
    <t>DRAM1</t>
  </si>
  <si>
    <t>ENSG00000136048</t>
  </si>
  <si>
    <t>DNA-damage regulated autophagy modulator 1 [Source:HGNC Symbol;Acc:HGNC:25645]</t>
  </si>
  <si>
    <t>CCDC64</t>
  </si>
  <si>
    <t>ENSG00000135127</t>
  </si>
  <si>
    <t>coiled-coil domain containing 64 [Source:HGNC Symbol;Acc:HGNC:28095]</t>
  </si>
  <si>
    <t>FLT3</t>
  </si>
  <si>
    <t>ENSG00000122025</t>
  </si>
  <si>
    <t>fms-related tyrosine kinase 3 [Source:HGNC Symbol;Acc:HGNC:3765]</t>
  </si>
  <si>
    <t>RFC3</t>
  </si>
  <si>
    <t>ENSG00000133119</t>
  </si>
  <si>
    <t>replication factor C (activator 1) 3, 38kDa [Source:HGNC Symbol;Acc:HGNC:9971]</t>
  </si>
  <si>
    <t>LCP1</t>
  </si>
  <si>
    <t>ENSG00000136167</t>
  </si>
  <si>
    <t>lymphocyte cytosolic protein 1 (L-plastin) [Source:HGNC Symbol;Acc:HGNC:6528]</t>
  </si>
  <si>
    <t>PCDH9</t>
  </si>
  <si>
    <t>ENSG00000184226</t>
  </si>
  <si>
    <t>protocadherin 9 [Source:HGNC Symbol;Acc:HGNC:8661]</t>
  </si>
  <si>
    <t>RNASE6</t>
  </si>
  <si>
    <t>ENSG00000169413</t>
  </si>
  <si>
    <t>ribonuclease, RNase A family, k6 [Source:HGNC Symbol;Acc:HGNC:10048]</t>
  </si>
  <si>
    <t>TRAC</t>
  </si>
  <si>
    <t>ENSG00000277734</t>
  </si>
  <si>
    <t>T cell receptor alpha constant [Source:HGNC Symbol;Acc:HGNC:12029]</t>
  </si>
  <si>
    <t>TRAJ18</t>
  </si>
  <si>
    <t>ENSG00000211871</t>
  </si>
  <si>
    <t>T cell receptor alpha joining 18 [Source:HGNC Symbol;Acc:HGNC:12046]</t>
  </si>
  <si>
    <t>CDH24</t>
  </si>
  <si>
    <t>ENSG00000139880</t>
  </si>
  <si>
    <t>cadherin 24, type 2 [Source:HGNC Symbol;Acc:HGNC:14265]</t>
  </si>
  <si>
    <t>LRFN5</t>
  </si>
  <si>
    <t>ENSG00000165379</t>
  </si>
  <si>
    <t>leucine rich repeat and fibronectin type III domain containing 5 [Source:HGNC Symbol;Acc:HGNC:20360]</t>
  </si>
  <si>
    <t>GCH1</t>
  </si>
  <si>
    <t>ENSG00000131979</t>
  </si>
  <si>
    <t>GTP cyclohydrolase 1 [Source:HGNC Symbol;Acc:HGNC:4193]</t>
  </si>
  <si>
    <t>PRKCH</t>
  </si>
  <si>
    <t>ENSG00000027075</t>
  </si>
  <si>
    <t>protein kinase C, eta [Source:HGNC Symbol;Acc:HGNC:9403]</t>
  </si>
  <si>
    <t>BATF</t>
  </si>
  <si>
    <t>ENSG00000156127</t>
  </si>
  <si>
    <t>basic leucine zipper transcription factor, ATF-like [Source:HGNC Symbol;Acc:HGNC:958]</t>
  </si>
  <si>
    <t>CCDC88C</t>
  </si>
  <si>
    <t>ENSG00000015133</t>
  </si>
  <si>
    <t>coiled-coil domain containing 88C [Source:HGNC Symbol;Acc:HGNC:19967]</t>
  </si>
  <si>
    <t>DLK1</t>
  </si>
  <si>
    <t>ENSG00000185559</t>
  </si>
  <si>
    <t>delta-like 1 homolog (Drosophila) [Source:HGNC Symbol;Acc:HGNC:2907]</t>
  </si>
  <si>
    <t>GPR132</t>
  </si>
  <si>
    <t>ENSG00000183484</t>
  </si>
  <si>
    <t>G protein-coupled receptor 132 [Source:HGNC Symbol;Acc:HGNC:17482]</t>
  </si>
  <si>
    <t>RASGRP1</t>
  </si>
  <si>
    <t>ENSG00000172575</t>
  </si>
  <si>
    <t>RAS guanyl releasing protein 1 (calcium and DAG-regulated) [Source:HGNC Symbol;Acc:HGNC:9878]</t>
  </si>
  <si>
    <t>TMEM62</t>
  </si>
  <si>
    <t>ENSG00000137842</t>
  </si>
  <si>
    <t>transmembrane protein 62 [Source:HGNC Symbol;Acc:HGNC:26269]</t>
  </si>
  <si>
    <t>CCNDBP1</t>
  </si>
  <si>
    <t>ENSG00000166946</t>
  </si>
  <si>
    <t>cyclin D-type binding-protein 1 [Source:HGNC Symbol;Acc:HGNC:1587]</t>
  </si>
  <si>
    <t>PATL2</t>
  </si>
  <si>
    <t>ENSG00000229474</t>
  </si>
  <si>
    <t>protein associated with topoisomerase II homolog 2 (yeast) [Source:HGNC Symbol;Acc:HGNC:33630]</t>
  </si>
  <si>
    <t>SQRDL</t>
  </si>
  <si>
    <t>ENSG00000137767</t>
  </si>
  <si>
    <t>sulfide quinone reductase-like (yeast) [Source:HGNC Symbol;Acc:HGNC:20390]</t>
  </si>
  <si>
    <t>ALDH1A2</t>
  </si>
  <si>
    <t>ENSG00000128918</t>
  </si>
  <si>
    <t>aldehyde dehydrogenase 1 family, member A2 [Source:HGNC Symbol;Acc:HGNC:15472]</t>
  </si>
  <si>
    <t>IGDCC3</t>
  </si>
  <si>
    <t>ENSG00000174498</t>
  </si>
  <si>
    <t>immunoglobulin superfamily, DCC subclass, member 3 [Source:HGNC Symbol;Acc:HGNC:9700]</t>
  </si>
  <si>
    <t>IGDCC4</t>
  </si>
  <si>
    <t>ENSG00000103742</t>
  </si>
  <si>
    <t>immunoglobulin superfamily, DCC subclass, member 4 [Source:HGNC Symbol;Acc:HGNC:13770]</t>
  </si>
  <si>
    <t>STRA6</t>
  </si>
  <si>
    <t>ENSG00000137868</t>
  </si>
  <si>
    <t>stimulated by retinoic acid 6 [Source:HGNC Symbol;Acc:HGNC:30650]</t>
  </si>
  <si>
    <t>PTPN9</t>
  </si>
  <si>
    <t>ENSG00000169410</t>
  </si>
  <si>
    <t>protein tyrosine phosphatase, non-receptor type 9 [Source:HGNC Symbol;Acc:HGNC:9661]</t>
  </si>
  <si>
    <t>CRABP1</t>
  </si>
  <si>
    <t>ENSG00000166426</t>
  </si>
  <si>
    <t>cellular retinoic acid binding protein 1 [Source:HGNC Symbol;Acc:HGNC:2338]</t>
  </si>
  <si>
    <t>MCTP2</t>
  </si>
  <si>
    <t>ENSG00000140563</t>
  </si>
  <si>
    <t>multiple C2 domains, transmembrane 2 [Source:HGNC Symbol;Acc:HGNC:25636]</t>
  </si>
  <si>
    <t>RAB11FIP3</t>
  </si>
  <si>
    <t>ENSG00000090565</t>
  </si>
  <si>
    <t>RAB11 family interacting protein 3 (class II) [Source:HGNC Symbol;Acc:HGNC:17224]</t>
  </si>
  <si>
    <t>IL32</t>
  </si>
  <si>
    <t>ENSG00000008517</t>
  </si>
  <si>
    <t>interleukin 32 [Source:HGNC Symbol;Acc:HGNC:16830]</t>
  </si>
  <si>
    <t>NLRC3</t>
  </si>
  <si>
    <t>ENSG00000167984</t>
  </si>
  <si>
    <t>NLR family, CARD domain containing 3 [Source:HGNC Symbol;Acc:HGNC:29889]</t>
  </si>
  <si>
    <t>CIITA</t>
  </si>
  <si>
    <t>ENSG00000179583</t>
  </si>
  <si>
    <t>class II, major histocompatibility complex, transactivator [Source:HGNC Symbol;Acc:HGNC:7067]</t>
  </si>
  <si>
    <t>ITGAL</t>
  </si>
  <si>
    <t>ENSG00000005844</t>
  </si>
  <si>
    <t>integrin, alpha L (antigen CD11A (p180), lymphocyte function-associated antigen 1; alpha polypeptide) [Source:HGNC Symbol;Acc:HGNC:6148]</t>
  </si>
  <si>
    <t>SLC12A3</t>
  </si>
  <si>
    <t>ENSG00000070915</t>
  </si>
  <si>
    <t>solute carrier family 12 (sodium/chloride transporter), member 3 [Source:HGNC Symbol;Acc:HGNC:10912]</t>
  </si>
  <si>
    <t>NLRC5</t>
  </si>
  <si>
    <t>ENSG00000140853</t>
  </si>
  <si>
    <t>NLR family, CARD domain containing 5 [Source:HGNC Symbol;Acc:HGNC:29933]</t>
  </si>
  <si>
    <t>GPR114</t>
  </si>
  <si>
    <t>ENSG00000159618</t>
  </si>
  <si>
    <t>G protein-coupled receptor 114 [Source:HGNC Symbol;Acc:HGNC:19010]</t>
  </si>
  <si>
    <t>RLTPR</t>
  </si>
  <si>
    <t>ENSG00000159753</t>
  </si>
  <si>
    <t>RGD motif, leucine rich repeats, tropomodulin domain and proline-rich containing [Source:HGNC Symbol;Acc:HGNC:27089]</t>
  </si>
  <si>
    <t>PLCG2</t>
  </si>
  <si>
    <t>ENSG00000197943</t>
  </si>
  <si>
    <t>phospholipase C, gamma 2 (phosphatidylinositol-specific) [Source:HGNC Symbol;Acc:HGNC:9066]</t>
  </si>
  <si>
    <t>IRF8</t>
  </si>
  <si>
    <t>ENSG00000140968</t>
  </si>
  <si>
    <t>interferon regulatory factor 8 [Source:HGNC Symbol;Acc:HGNC:5358]</t>
  </si>
  <si>
    <t>P2RX5</t>
  </si>
  <si>
    <t>ENSG00000083454</t>
  </si>
  <si>
    <t>purinergic receptor P2X, ligand-gated ion channel, 5 [Source:HGNC Symbol;Acc:HGNC:8536]</t>
  </si>
  <si>
    <t>P2RX1</t>
  </si>
  <si>
    <t>ENSG00000108405</t>
  </si>
  <si>
    <t>purinergic receptor P2X, ligand-gated ion channel, 1 [Source:HGNC Symbol;Acc:HGNC:8533]</t>
  </si>
  <si>
    <t>ACAP1</t>
  </si>
  <si>
    <t>ENSG00000072818</t>
  </si>
  <si>
    <t>ArfGAP with coiled-coil, ankyrin repeat and PH domains 1 [Source:HGNC Symbol;Acc:HGNC:16467]</t>
  </si>
  <si>
    <t>HS3ST3B1</t>
  </si>
  <si>
    <t>ENSG00000125430</t>
  </si>
  <si>
    <t>heparan sulfate (glucosamine) 3-O- sulfotransferase 3B1 [Source:HGNC Symbol;Acc:HGNC:5198]</t>
  </si>
  <si>
    <t>SLFN13</t>
  </si>
  <si>
    <t>ENSG00000154760</t>
  </si>
  <si>
    <t>schlafen family member 13 [Source:HGNC Symbol;Acc:HGNC:26481]</t>
  </si>
  <si>
    <t>SLFN12L</t>
  </si>
  <si>
    <t>ENSG00000205045</t>
  </si>
  <si>
    <t>schlafen family member 12-like [Source:HGNC Symbol;Acc:HGNC:33920]</t>
  </si>
  <si>
    <t>CCL5</t>
  </si>
  <si>
    <t>ENSG00000271503</t>
  </si>
  <si>
    <t>chemokine (C-C motif) ligand 5 [Source:HGNC Symbol;Acc:HGNC:10632]</t>
  </si>
  <si>
    <t>CCL4</t>
  </si>
  <si>
    <t>ENSG00000275302</t>
  </si>
  <si>
    <t>chemokine (C-C motif) ligand 4 [Source:HGNC Symbol;Acc:HGNC:10630]</t>
  </si>
  <si>
    <t>IKZF3</t>
  </si>
  <si>
    <t>ENSG00000161405</t>
  </si>
  <si>
    <t>IKAROS family zinc finger 3 (Aiolos) [Source:HGNC Symbol;Acc:HGNC:13178]</t>
  </si>
  <si>
    <t>CCR7</t>
  </si>
  <si>
    <t>ENSG00000126353</t>
  </si>
  <si>
    <t>chemokine (C-C motif) receptor 7 [Source:HGNC Symbol;Acc:HGNC:1608]</t>
  </si>
  <si>
    <t>SKAP1</t>
  </si>
  <si>
    <t>ENSG00000141293</t>
  </si>
  <si>
    <t>src kinase associated phosphoprotein 1 [Source:HGNC Symbol;Acc:HGNC:15605]</t>
  </si>
  <si>
    <t>HOXB8</t>
  </si>
  <si>
    <t>ENSG00000120068</t>
  </si>
  <si>
    <t>homeobox B8 [Source:HGNC Symbol;Acc:HGNC:5119]</t>
  </si>
  <si>
    <t>IGF2BP1</t>
  </si>
  <si>
    <t>ENSG00000159217</t>
  </si>
  <si>
    <t>insulin-like growth factor 2 mRNA binding protein 1 [Source:HGNC Symbol;Acc:HGNC:28866]</t>
  </si>
  <si>
    <t>RNF43</t>
  </si>
  <si>
    <t>ENSG00000108375</t>
  </si>
  <si>
    <t>ring finger protein 43 [Source:HGNC Symbol;Acc:HGNC:18505]</t>
  </si>
  <si>
    <t>HID1</t>
  </si>
  <si>
    <t>ENSG00000167861</t>
  </si>
  <si>
    <t>HID1 domain containing [Source:HGNC Symbol;Acc:HGNC:15736]</t>
  </si>
  <si>
    <t>ZNF519</t>
  </si>
  <si>
    <t>ENSG00000175322</t>
  </si>
  <si>
    <t>zinc finger protein 519 [Source:HGNC Symbol;Acc:HGNC:30574]</t>
  </si>
  <si>
    <t>SLC14A1</t>
  </si>
  <si>
    <t>ENSG00000141469</t>
  </si>
  <si>
    <t>solute carrier family 14 (urea transporter), member 1 (Kidd blood group) [Source:HGNC Symbol;Acc:HGNC:10918]</t>
  </si>
  <si>
    <t>PSTPIP2</t>
  </si>
  <si>
    <t>ENSG00000152229</t>
  </si>
  <si>
    <t>proline-serine-threonine phosphatase interacting protein 2 [Source:HGNC Symbol;Acc:HGNC:9581]</t>
  </si>
  <si>
    <t>CD226</t>
  </si>
  <si>
    <t>ENSG00000150637</t>
  </si>
  <si>
    <t>CD226 molecule [Source:HGNC Symbol;Acc:HGNC:16961]</t>
  </si>
  <si>
    <t>ARRDC5</t>
  </si>
  <si>
    <t>ENSG00000205784</t>
  </si>
  <si>
    <t>arrestin domain containing 5 [Source:HGNC Symbol;Acc:HGNC:31407]</t>
  </si>
  <si>
    <t>FBN3</t>
  </si>
  <si>
    <t>ENSG00000142449</t>
  </si>
  <si>
    <t>fibrillin 3 [Source:HGNC Symbol;Acc:HGNC:18794]</t>
  </si>
  <si>
    <t>MUC16</t>
  </si>
  <si>
    <t>ENSG00000181143</t>
  </si>
  <si>
    <t>mucin 16, cell surface associated [Source:HGNC Symbol;Acc:HGNC:15582]</t>
  </si>
  <si>
    <t>HSH2D</t>
  </si>
  <si>
    <t>ENSG00000196684</t>
  </si>
  <si>
    <t>hematopoietic SH2 domain containing [Source:HGNC Symbol;Acc:HGNC:24920]</t>
  </si>
  <si>
    <t>IL12RB1</t>
  </si>
  <si>
    <t>ENSG00000096996</t>
  </si>
  <si>
    <t>interleukin 12 receptor, beta 1 [Source:HGNC Symbol;Acc:HGNC:5971]</t>
  </si>
  <si>
    <t>KCNK6</t>
  </si>
  <si>
    <t>ENSG00000099337</t>
  </si>
  <si>
    <t>potassium channel, subfamily K, member 6 [Source:HGNC Symbol;Acc:HGNC:6281]</t>
  </si>
  <si>
    <t>CD79A</t>
  </si>
  <si>
    <t>ENSG00000105369</t>
  </si>
  <si>
    <t>CD79a molecule, immunoglobulin-associated alpha [Source:HGNC Symbol;Acc:HGNC:1698]</t>
  </si>
  <si>
    <t>ATP1A3</t>
  </si>
  <si>
    <t>ENSG00000105409</t>
  </si>
  <si>
    <t>ATPase, Na+/K+ transporting, alpha 3 polypeptide [Source:HGNC Symbol;Acc:HGNC:801]</t>
  </si>
  <si>
    <t>PLA2G4C</t>
  </si>
  <si>
    <t>ENSG00000105499</t>
  </si>
  <si>
    <t>phospholipase A2, group IVC (cytosolic, calcium-independent) [Source:HGNC Symbol;Acc:HGNC:9037]</t>
  </si>
  <si>
    <t>TEAD2</t>
  </si>
  <si>
    <t>ENSG00000074219</t>
  </si>
  <si>
    <t>TEA domain family member 2 [Source:HGNC Symbol;Acc:HGNC:11715]</t>
  </si>
  <si>
    <t>SIGLEC6</t>
  </si>
  <si>
    <t>ENSG00000105492</t>
  </si>
  <si>
    <t>sialic acid binding Ig-like lectin 6 [Source:HGNC Symbol;Acc:HGNC:10875]</t>
  </si>
  <si>
    <t>NCR1</t>
  </si>
  <si>
    <t>ENSG00000189430</t>
  </si>
  <si>
    <t>natural cytotoxicity triggering receptor 1 [Source:HGNC Symbol;Acc:HGNC:6731]</t>
  </si>
  <si>
    <t>SIRPG</t>
  </si>
  <si>
    <t>ENSG00000089012</t>
  </si>
  <si>
    <t>signal-regulatory protein gamma [Source:HGNC Symbol;Acc:HGNC:15757]</t>
  </si>
  <si>
    <t>RASSF2</t>
  </si>
  <si>
    <t>ENSG00000101265</t>
  </si>
  <si>
    <t>Ras association (RalGDS/AF-6) domain family member 2 [Source:HGNC Symbol;Acc:HGNC:9883]</t>
  </si>
  <si>
    <t>SNRPB2</t>
  </si>
  <si>
    <t>ENSG00000125870</t>
  </si>
  <si>
    <t>small nuclear ribonucleoprotein polypeptide B [Source:HGNC Symbol;Acc:HGNC:11155]</t>
  </si>
  <si>
    <t>ZBP1</t>
  </si>
  <si>
    <t>ENSG00000124256</t>
  </si>
  <si>
    <t>Z-DNA binding protein 1 [Source:HGNC Symbol;Acc:HGNC:16176]</t>
  </si>
  <si>
    <t>GNAS-AS1</t>
  </si>
  <si>
    <t>ENSG00000235590</t>
  </si>
  <si>
    <t>GNAS antisense RNA 1 [Source:HGNC Symbol;Acc:HGNC:24872]</t>
  </si>
  <si>
    <t>ZNF831</t>
  </si>
  <si>
    <t>ENSG00000124203</t>
  </si>
  <si>
    <t>zinc finger protein 831 [Source:HGNC Symbol;Acc:HGNC:16167]</t>
  </si>
  <si>
    <t>COL20A1</t>
  </si>
  <si>
    <t>ENSG00000101203</t>
  </si>
  <si>
    <t>collagen, type XX, alpha 1 [Source:HGNC Symbol;Acc:HGNC:14670]</t>
  </si>
  <si>
    <t>SAMSN1</t>
  </si>
  <si>
    <t>ENSG00000155307</t>
  </si>
  <si>
    <t>SAM domain, SH3 domain and nuclear localization signals 1 [Source:HGNC Symbol;Acc:HGNC:10528]</t>
  </si>
  <si>
    <t>UBASH3A</t>
  </si>
  <si>
    <t>ENSG00000160185</t>
  </si>
  <si>
    <t>ubiquitin associated and SH3 domain containing A [Source:HGNC Symbol;Acc:HGNC:12462]</t>
  </si>
  <si>
    <t>APOL3</t>
  </si>
  <si>
    <t>ENSG00000128284</t>
  </si>
  <si>
    <t>apolipoprotein L, 3 [Source:HGNC Symbol;Acc:HGNC:14868]</t>
  </si>
  <si>
    <t>APOL4</t>
  </si>
  <si>
    <t>ENSG00000100336</t>
  </si>
  <si>
    <t>apolipoprotein L, 4 [Source:HGNC Symbol;Acc:HGNC:14867]</t>
  </si>
  <si>
    <t>APOL1</t>
  </si>
  <si>
    <t>ENSG00000100342</t>
  </si>
  <si>
    <t>apolipoprotein L, 1 [Source:HGNC Symbol;Acc:HGNC:618]</t>
  </si>
  <si>
    <t>RAC2</t>
  </si>
  <si>
    <t>ENSG00000128340</t>
  </si>
  <si>
    <t>ras-related C3 botulinum toxin substrate 2 (rho family, small GTP binding protein Rac2) [Source:HGNC Symbol;Acc:HGNC:9802]</t>
  </si>
  <si>
    <t>APOBEC3H</t>
  </si>
  <si>
    <t>ENSG00000100298</t>
  </si>
  <si>
    <t>apolipoprotein B mRNA editing enzyme, catalytic polypeptide-like 3H [Source:HGNC Symbol;Acc:HGNC:24100]</t>
  </si>
  <si>
    <t>PHF21B</t>
  </si>
  <si>
    <t>ENSG00000056487</t>
  </si>
  <si>
    <t>PHD finger protein 21B [Source:HGNC Symbol;Acc:HGNC:25161]</t>
  </si>
  <si>
    <t>TLR8</t>
  </si>
  <si>
    <t>X</t>
  </si>
  <si>
    <t>ENSG00000101916</t>
  </si>
  <si>
    <t>toll-like receptor 8 [Source:HGNC Symbol;Acc:HGNC:15632]</t>
  </si>
  <si>
    <t>TSPAN7</t>
  </si>
  <si>
    <t>ENSG00000156298</t>
  </si>
  <si>
    <t>tetraspanin 7 [Source:HGNC Symbol;Acc:HGNC:11854]</t>
  </si>
  <si>
    <t>IL2RG</t>
  </si>
  <si>
    <t>ENSG00000147168</t>
  </si>
  <si>
    <t>interleukin 2 receptor, gamma [Source:HGNC Symbol;Acc:HGNC:6010]</t>
  </si>
  <si>
    <t>NAP1L2</t>
  </si>
  <si>
    <t>ENSG00000186462</t>
  </si>
  <si>
    <t>nucleosome assembly protein 1-like 2 [Source:HGNC Symbol;Acc:HGNC:7638]</t>
  </si>
  <si>
    <t>P2RY10</t>
  </si>
  <si>
    <t>ENSG00000078589</t>
  </si>
  <si>
    <t>purinergic receptor P2Y, G-protein coupled, 10 [Source:HGNC Symbol;Acc:HGNC:19906]</t>
  </si>
  <si>
    <t>PCDH11X</t>
  </si>
  <si>
    <t>ENSG00000102290</t>
  </si>
  <si>
    <t>protocadherin 11 X-linked [Source:HGNC Symbol;Acc:HGNC:8656]</t>
  </si>
  <si>
    <t>SH2D1A</t>
  </si>
  <si>
    <t>ENSG00000183918</t>
  </si>
  <si>
    <t>SH2 domain containing 1A [Source:HGNC Symbol;Acc:HGNC:10820]</t>
  </si>
  <si>
    <t>MTM1</t>
  </si>
  <si>
    <t>ENSG00000171100</t>
  </si>
  <si>
    <t>myotubularin 1 [Source:HGNC Symbol;Acc:HGNC:7448]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</si>
</sst>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abSelected="1" workbookViewId="0">
      <selection activeCell="E7" sqref="E7"/>
    </sheetView>
  </sheetViews>
  <sheetFormatPr defaultColWidth="10.69921875" defaultRowHeight="14.4" x14ac:dyDescent="0.3"/>
  <cols>
    <col min="1" max="1" width="10.69921875" style="2"/>
    <col min="2" max="2" width="13.19921875" style="2" customWidth="1"/>
    <col min="3" max="4" width="10.69921875" style="2"/>
    <col min="5" max="5" width="18.69921875" style="2" customWidth="1"/>
    <col min="6" max="6" width="20.69921875" style="2" customWidth="1"/>
    <col min="7" max="7" width="18.69921875" style="2" customWidth="1"/>
    <col min="8" max="8" width="13.69921875" style="2" customWidth="1"/>
    <col min="9" max="9" width="17.19921875" style="2" customWidth="1"/>
    <col min="10" max="10" width="17.69921875" style="2" customWidth="1"/>
    <col min="11" max="11" width="17.19921875" style="2" customWidth="1"/>
    <col min="12" max="12" width="16" style="2" customWidth="1"/>
    <col min="13" max="13" width="17.5" style="2" customWidth="1"/>
    <col min="14" max="16384" width="10.69921875" style="2"/>
  </cols>
  <sheetData>
    <row r="1" spans="1:13" x14ac:dyDescent="0.3">
      <c r="A1" s="1" t="s">
        <v>0</v>
      </c>
    </row>
    <row r="2" spans="1:13" ht="15" thickBot="1" x14ac:dyDescent="0.35"/>
    <row r="3" spans="1:13" ht="29.4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 t="s">
        <v>14</v>
      </c>
      <c r="B4" s="4">
        <v>1</v>
      </c>
      <c r="C4" s="4">
        <v>7915894</v>
      </c>
      <c r="D4" s="4">
        <v>7943165</v>
      </c>
      <c r="E4" s="4">
        <v>2.2911049999999999E-2</v>
      </c>
      <c r="F4" s="4" t="s">
        <v>15</v>
      </c>
      <c r="G4" s="4" t="s">
        <v>16</v>
      </c>
      <c r="H4" s="5">
        <v>1.2438441258333335</v>
      </c>
      <c r="I4" s="5">
        <v>-1.4660603375000001</v>
      </c>
      <c r="J4" s="5">
        <v>2.3896176233333333</v>
      </c>
      <c r="K4" s="5">
        <v>-0.28315091666666664</v>
      </c>
      <c r="L4" s="6">
        <f>H4-I4</f>
        <v>2.7099044633333333</v>
      </c>
      <c r="M4" s="6">
        <f>J4-K4</f>
        <v>2.6727685399999999</v>
      </c>
    </row>
    <row r="5" spans="1:13" x14ac:dyDescent="0.3">
      <c r="A5" s="4" t="s">
        <v>17</v>
      </c>
      <c r="B5" s="4">
        <v>1</v>
      </c>
      <c r="C5" s="4">
        <v>17406760</v>
      </c>
      <c r="D5" s="4">
        <v>17439724</v>
      </c>
      <c r="E5" s="4">
        <v>4.1277990000000001E-2</v>
      </c>
      <c r="F5" s="4" t="s">
        <v>18</v>
      </c>
      <c r="G5" s="4" t="s">
        <v>19</v>
      </c>
      <c r="H5" s="5">
        <v>5.0414864124999994</v>
      </c>
      <c r="I5" s="5">
        <v>5.2890925000000006</v>
      </c>
      <c r="J5" s="5">
        <v>4.9408706499999999</v>
      </c>
      <c r="K5" s="5">
        <v>5.1594285666666666</v>
      </c>
      <c r="L5" s="6">
        <f t="shared" ref="L5:L68" si="0">H5-I5</f>
        <v>-0.24760608750000124</v>
      </c>
      <c r="M5" s="6">
        <f t="shared" ref="M5:M68" si="1">J5-K5</f>
        <v>-0.21855791666666669</v>
      </c>
    </row>
    <row r="6" spans="1:13" x14ac:dyDescent="0.3">
      <c r="A6" s="4" t="s">
        <v>20</v>
      </c>
      <c r="B6" s="4">
        <v>1</v>
      </c>
      <c r="C6" s="4">
        <v>26317957</v>
      </c>
      <c r="D6" s="4">
        <v>26320523</v>
      </c>
      <c r="E6" s="4">
        <v>9.5714289999999994E-3</v>
      </c>
      <c r="F6" s="4" t="s">
        <v>21</v>
      </c>
      <c r="G6" s="4" t="s">
        <v>22</v>
      </c>
      <c r="H6" s="5">
        <v>1.8042154491666667</v>
      </c>
      <c r="I6" s="5">
        <v>0.55699901875000002</v>
      </c>
      <c r="J6" s="5">
        <v>2.4627259666666665</v>
      </c>
      <c r="K6" s="5">
        <v>1.1967596866666668</v>
      </c>
      <c r="L6" s="6">
        <f t="shared" si="0"/>
        <v>1.2472164304166666</v>
      </c>
      <c r="M6" s="6">
        <f t="shared" si="1"/>
        <v>1.2659662799999998</v>
      </c>
    </row>
    <row r="7" spans="1:13" x14ac:dyDescent="0.3">
      <c r="A7" s="4" t="s">
        <v>23</v>
      </c>
      <c r="B7" s="4">
        <v>1</v>
      </c>
      <c r="C7" s="4">
        <v>27612064</v>
      </c>
      <c r="D7" s="4">
        <v>27635277</v>
      </c>
      <c r="E7" s="4">
        <v>1.9326304999999998E-2</v>
      </c>
      <c r="F7" s="4" t="s">
        <v>24</v>
      </c>
      <c r="G7" s="4" t="s">
        <v>25</v>
      </c>
      <c r="H7" s="5">
        <v>2.5883795541666665</v>
      </c>
      <c r="I7" s="5">
        <v>1.4400921749999998</v>
      </c>
      <c r="J7" s="5">
        <v>3.6440096166666667</v>
      </c>
      <c r="K7" s="5">
        <v>1.7642955333333334</v>
      </c>
      <c r="L7" s="6">
        <f t="shared" si="0"/>
        <v>1.1482873791666668</v>
      </c>
      <c r="M7" s="6">
        <f t="shared" si="1"/>
        <v>1.8797140833333332</v>
      </c>
    </row>
    <row r="8" spans="1:13" x14ac:dyDescent="0.3">
      <c r="A8" s="4" t="s">
        <v>26</v>
      </c>
      <c r="B8" s="4">
        <v>1</v>
      </c>
      <c r="C8" s="4">
        <v>29147743</v>
      </c>
      <c r="D8" s="4">
        <v>29181987</v>
      </c>
      <c r="E8" s="4">
        <v>2.9076320999999999E-2</v>
      </c>
      <c r="F8" s="4" t="s">
        <v>27</v>
      </c>
      <c r="G8" s="4" t="s">
        <v>28</v>
      </c>
      <c r="H8" s="5">
        <v>4.7710338541666664</v>
      </c>
      <c r="I8" s="5">
        <v>5.0172724249999998</v>
      </c>
      <c r="J8" s="5">
        <v>4.7726709833333327</v>
      </c>
      <c r="K8" s="5">
        <v>4.7731215666666671</v>
      </c>
      <c r="L8" s="6">
        <f t="shared" si="0"/>
        <v>-0.24623857083333345</v>
      </c>
      <c r="M8" s="6">
        <f t="shared" si="1"/>
        <v>-4.5058333333436451E-4</v>
      </c>
    </row>
    <row r="9" spans="1:13" x14ac:dyDescent="0.3">
      <c r="A9" s="4" t="s">
        <v>29</v>
      </c>
      <c r="B9" s="4">
        <v>1</v>
      </c>
      <c r="C9" s="4">
        <v>30931506</v>
      </c>
      <c r="D9" s="4">
        <v>31065991</v>
      </c>
      <c r="E9" s="4">
        <v>5.5868840000000003E-3</v>
      </c>
      <c r="F9" s="4" t="s">
        <v>30</v>
      </c>
      <c r="G9" s="4" t="s">
        <v>31</v>
      </c>
      <c r="H9" s="5">
        <v>5.7789987041666668</v>
      </c>
      <c r="I9" s="5">
        <v>6.0411850999999999</v>
      </c>
      <c r="J9" s="5">
        <v>5.7219495166666663</v>
      </c>
      <c r="K9" s="5">
        <v>5.8779133333333329</v>
      </c>
      <c r="L9" s="6">
        <f t="shared" si="0"/>
        <v>-0.26218639583333303</v>
      </c>
      <c r="M9" s="6">
        <f t="shared" si="1"/>
        <v>-0.15596381666666659</v>
      </c>
    </row>
    <row r="10" spans="1:13" x14ac:dyDescent="0.3">
      <c r="A10" s="4" t="s">
        <v>32</v>
      </c>
      <c r="B10" s="4">
        <v>1</v>
      </c>
      <c r="C10" s="4">
        <v>31259568</v>
      </c>
      <c r="D10" s="4">
        <v>31296782</v>
      </c>
      <c r="E10" s="4">
        <v>2.477062E-2</v>
      </c>
      <c r="F10" s="4" t="s">
        <v>33</v>
      </c>
      <c r="G10" s="4" t="s">
        <v>34</v>
      </c>
      <c r="H10" s="5">
        <v>4.1300221499999994</v>
      </c>
      <c r="I10" s="5">
        <v>4.4436702999999991</v>
      </c>
      <c r="J10" s="5">
        <v>3.9557459333333331</v>
      </c>
      <c r="K10" s="5">
        <v>4.7611553333333339</v>
      </c>
      <c r="L10" s="6">
        <f t="shared" si="0"/>
        <v>-0.31364814999999968</v>
      </c>
      <c r="M10" s="6">
        <f t="shared" si="1"/>
        <v>-0.80540940000000072</v>
      </c>
    </row>
    <row r="11" spans="1:13" x14ac:dyDescent="0.3">
      <c r="A11" s="4" t="s">
        <v>35</v>
      </c>
      <c r="B11" s="4">
        <v>1</v>
      </c>
      <c r="C11" s="4">
        <v>32251239</v>
      </c>
      <c r="D11" s="4">
        <v>32286165</v>
      </c>
      <c r="E11" s="4">
        <v>1.3861043E-2</v>
      </c>
      <c r="F11" s="4" t="s">
        <v>36</v>
      </c>
      <c r="G11" s="4" t="s">
        <v>37</v>
      </c>
      <c r="H11" s="5">
        <v>2.5018985950000006</v>
      </c>
      <c r="I11" s="5">
        <v>0.78026130874999988</v>
      </c>
      <c r="J11" s="5">
        <v>3.8510602166666668</v>
      </c>
      <c r="K11" s="5">
        <v>1.3959232833333335</v>
      </c>
      <c r="L11" s="6">
        <f t="shared" si="0"/>
        <v>1.7216372862500007</v>
      </c>
      <c r="M11" s="6">
        <f t="shared" si="1"/>
        <v>2.4551369333333333</v>
      </c>
    </row>
    <row r="12" spans="1:13" x14ac:dyDescent="0.3">
      <c r="A12" s="4" t="s">
        <v>38</v>
      </c>
      <c r="B12" s="4">
        <v>1</v>
      </c>
      <c r="C12" s="4">
        <v>40300487</v>
      </c>
      <c r="D12" s="4">
        <v>40317816</v>
      </c>
      <c r="E12" s="4">
        <v>4.5212719999999998E-2</v>
      </c>
      <c r="F12" s="4" t="s">
        <v>39</v>
      </c>
      <c r="G12" s="4" t="s">
        <v>40</v>
      </c>
      <c r="H12" s="5">
        <v>1.3595341072916665</v>
      </c>
      <c r="I12" s="5">
        <v>1.7321706312499998</v>
      </c>
      <c r="J12" s="5">
        <v>1.0671756283333333</v>
      </c>
      <c r="K12" s="5">
        <v>2.0802919000000002</v>
      </c>
      <c r="L12" s="6">
        <f t="shared" si="0"/>
        <v>-0.37263652395833335</v>
      </c>
      <c r="M12" s="6">
        <f t="shared" si="1"/>
        <v>-1.0131162716666668</v>
      </c>
    </row>
    <row r="13" spans="1:13" x14ac:dyDescent="0.3">
      <c r="A13" s="4" t="s">
        <v>41</v>
      </c>
      <c r="B13" s="4">
        <v>1</v>
      </c>
      <c r="C13" s="4">
        <v>40450102</v>
      </c>
      <c r="D13" s="4">
        <v>40463718</v>
      </c>
      <c r="E13" s="4">
        <v>3.2351979999999999E-3</v>
      </c>
      <c r="F13" s="4" t="s">
        <v>42</v>
      </c>
      <c r="G13" s="4" t="s">
        <v>43</v>
      </c>
      <c r="H13" s="5">
        <v>2.2509015291666667</v>
      </c>
      <c r="I13" s="5">
        <v>2.7164081624999996</v>
      </c>
      <c r="J13" s="5">
        <v>1.8084839666666666</v>
      </c>
      <c r="K13" s="5">
        <v>2.8575295666666669</v>
      </c>
      <c r="L13" s="6">
        <f t="shared" si="0"/>
        <v>-0.46550663333333286</v>
      </c>
      <c r="M13" s="6">
        <f t="shared" si="1"/>
        <v>-1.0490456000000004</v>
      </c>
    </row>
    <row r="14" spans="1:13" x14ac:dyDescent="0.3">
      <c r="A14" s="4" t="s">
        <v>44</v>
      </c>
      <c r="B14" s="4">
        <v>1</v>
      </c>
      <c r="C14" s="4">
        <v>45583846</v>
      </c>
      <c r="D14" s="4">
        <v>45618904</v>
      </c>
      <c r="E14" s="4">
        <v>2.1681866000000001E-2</v>
      </c>
      <c r="F14" s="4" t="s">
        <v>45</v>
      </c>
      <c r="G14" s="4" t="s">
        <v>46</v>
      </c>
      <c r="H14" s="5">
        <v>5.3537794458333323</v>
      </c>
      <c r="I14" s="5">
        <v>5.8172618875000008</v>
      </c>
      <c r="J14" s="5">
        <v>5.3721940500000001</v>
      </c>
      <c r="K14" s="5">
        <v>5.3475184999999996</v>
      </c>
      <c r="L14" s="6">
        <f t="shared" si="0"/>
        <v>-0.46348244166666852</v>
      </c>
      <c r="M14" s="6">
        <f t="shared" si="1"/>
        <v>2.4675550000000435E-2</v>
      </c>
    </row>
    <row r="15" spans="1:13" x14ac:dyDescent="0.3">
      <c r="A15" s="4" t="s">
        <v>47</v>
      </c>
      <c r="B15" s="4">
        <v>1</v>
      </c>
      <c r="C15" s="4">
        <v>77282051</v>
      </c>
      <c r="D15" s="4">
        <v>77559969</v>
      </c>
      <c r="E15" s="4">
        <v>2.8619219000000001E-2</v>
      </c>
      <c r="F15" s="4" t="s">
        <v>48</v>
      </c>
      <c r="G15" s="4" t="s">
        <v>49</v>
      </c>
      <c r="H15" s="5">
        <v>1.1696926116666668</v>
      </c>
      <c r="I15" s="5">
        <v>-1.013573735</v>
      </c>
      <c r="J15" s="5">
        <v>0.68082217133333334</v>
      </c>
      <c r="K15" s="5">
        <v>0.9728426</v>
      </c>
      <c r="L15" s="6">
        <f t="shared" si="0"/>
        <v>2.1832663466666666</v>
      </c>
      <c r="M15" s="6">
        <f t="shared" si="1"/>
        <v>-0.29202042866666666</v>
      </c>
    </row>
    <row r="16" spans="1:13" x14ac:dyDescent="0.3">
      <c r="A16" s="4" t="s">
        <v>50</v>
      </c>
      <c r="B16" s="4">
        <v>1</v>
      </c>
      <c r="C16" s="4">
        <v>81306160</v>
      </c>
      <c r="D16" s="4">
        <v>81992436</v>
      </c>
      <c r="E16" s="4">
        <v>1.8891959E-2</v>
      </c>
      <c r="F16" s="4" t="s">
        <v>51</v>
      </c>
      <c r="G16" s="4" t="s">
        <v>52</v>
      </c>
      <c r="H16" s="5">
        <v>4.7837889583333331</v>
      </c>
      <c r="I16" s="5">
        <v>5.5189368625000004</v>
      </c>
      <c r="J16" s="5">
        <v>4.5853744833333332</v>
      </c>
      <c r="K16" s="5">
        <v>4.4081334333333331</v>
      </c>
      <c r="L16" s="6">
        <f t="shared" si="0"/>
        <v>-0.73514790416666731</v>
      </c>
      <c r="M16" s="6">
        <f t="shared" si="1"/>
        <v>0.17724105000000012</v>
      </c>
    </row>
    <row r="17" spans="1:13" x14ac:dyDescent="0.3">
      <c r="A17" s="4" t="s">
        <v>53</v>
      </c>
      <c r="B17" s="4">
        <v>1</v>
      </c>
      <c r="C17" s="4">
        <v>89052319</v>
      </c>
      <c r="D17" s="4">
        <v>89065360</v>
      </c>
      <c r="E17" s="4">
        <v>4.7435810000000002E-2</v>
      </c>
      <c r="F17" s="4" t="s">
        <v>54</v>
      </c>
      <c r="G17" s="4" t="s">
        <v>55</v>
      </c>
      <c r="H17" s="5">
        <v>5.3936396791666672</v>
      </c>
      <c r="I17" s="5">
        <v>4.1402074750000004</v>
      </c>
      <c r="J17" s="5">
        <v>6.2556732166666675</v>
      </c>
      <c r="K17" s="5">
        <v>4.8779392333333336</v>
      </c>
      <c r="L17" s="6">
        <f>H17-I17</f>
        <v>1.2534322041666668</v>
      </c>
      <c r="M17" s="6">
        <f>J17-K17</f>
        <v>1.377733983333334</v>
      </c>
    </row>
    <row r="18" spans="1:13" x14ac:dyDescent="0.3">
      <c r="A18" s="4" t="s">
        <v>56</v>
      </c>
      <c r="B18" s="4">
        <v>1</v>
      </c>
      <c r="C18" s="4">
        <v>89258950</v>
      </c>
      <c r="D18" s="4">
        <v>89272804</v>
      </c>
      <c r="E18" s="4">
        <v>8.9456329999999997E-3</v>
      </c>
      <c r="F18" s="4" t="s">
        <v>57</v>
      </c>
      <c r="G18" s="4" t="s">
        <v>58</v>
      </c>
      <c r="H18" s="5">
        <v>4.6478100541666665</v>
      </c>
      <c r="I18" s="5">
        <v>2.9203183374999999</v>
      </c>
      <c r="J18" s="5">
        <v>5.922891383333333</v>
      </c>
      <c r="K18" s="5">
        <v>3.6933992</v>
      </c>
      <c r="L18" s="6">
        <f t="shared" si="0"/>
        <v>1.7274917166666666</v>
      </c>
      <c r="M18" s="6">
        <f t="shared" si="1"/>
        <v>2.229492183333333</v>
      </c>
    </row>
    <row r="19" spans="1:13" x14ac:dyDescent="0.3">
      <c r="A19" s="4" t="s">
        <v>59</v>
      </c>
      <c r="B19" s="4">
        <v>1</v>
      </c>
      <c r="C19" s="4">
        <v>113813811</v>
      </c>
      <c r="D19" s="4">
        <v>113871759</v>
      </c>
      <c r="E19" s="4">
        <v>1.6538081999999999E-2</v>
      </c>
      <c r="F19" s="4" t="s">
        <v>60</v>
      </c>
      <c r="G19" s="4" t="s">
        <v>61</v>
      </c>
      <c r="H19" s="5">
        <v>4.0977434041666658</v>
      </c>
      <c r="I19" s="5">
        <v>2.7295358875</v>
      </c>
      <c r="J19" s="5">
        <v>4.9980328333333333</v>
      </c>
      <c r="K19" s="5">
        <v>2.8258055333333334</v>
      </c>
      <c r="L19" s="6">
        <f t="shared" si="0"/>
        <v>1.3682075166666658</v>
      </c>
      <c r="M19" s="6">
        <f t="shared" si="1"/>
        <v>2.1722272999999999</v>
      </c>
    </row>
    <row r="20" spans="1:13" x14ac:dyDescent="0.3">
      <c r="A20" s="4" t="s">
        <v>62</v>
      </c>
      <c r="B20" s="4">
        <v>1</v>
      </c>
      <c r="C20" s="4">
        <v>116754385</v>
      </c>
      <c r="D20" s="4">
        <v>116769228</v>
      </c>
      <c r="E20" s="4">
        <v>1.4751267E-2</v>
      </c>
      <c r="F20" s="4" t="s">
        <v>63</v>
      </c>
      <c r="G20" s="4" t="s">
        <v>64</v>
      </c>
      <c r="H20" s="5">
        <v>3.3108268083333336</v>
      </c>
      <c r="I20" s="5">
        <v>1.7212793287499999</v>
      </c>
      <c r="J20" s="5">
        <v>4.4154811833333332</v>
      </c>
      <c r="K20" s="5">
        <v>2.3548796000000003</v>
      </c>
      <c r="L20" s="6">
        <f t="shared" si="0"/>
        <v>1.5895474795833338</v>
      </c>
      <c r="M20" s="6">
        <f t="shared" si="1"/>
        <v>2.0606015833333329</v>
      </c>
    </row>
    <row r="21" spans="1:13" x14ac:dyDescent="0.3">
      <c r="A21" s="4" t="s">
        <v>65</v>
      </c>
      <c r="B21" s="4">
        <v>1</v>
      </c>
      <c r="C21" s="4">
        <v>150730196</v>
      </c>
      <c r="D21" s="4">
        <v>150765957</v>
      </c>
      <c r="E21" s="4">
        <v>1.74237E-2</v>
      </c>
      <c r="F21" s="4" t="s">
        <v>66</v>
      </c>
      <c r="G21" s="4" t="s">
        <v>67</v>
      </c>
      <c r="H21" s="5">
        <v>4.711601145833332</v>
      </c>
      <c r="I21" s="5">
        <v>3.9468925249999995</v>
      </c>
      <c r="J21" s="5">
        <v>5.0864795333333337</v>
      </c>
      <c r="K21" s="5">
        <v>4.3769688666666662</v>
      </c>
      <c r="L21" s="6">
        <f t="shared" si="0"/>
        <v>0.76470862083333246</v>
      </c>
      <c r="M21" s="6">
        <f t="shared" si="1"/>
        <v>0.70951066666666751</v>
      </c>
    </row>
    <row r="22" spans="1:13" x14ac:dyDescent="0.3">
      <c r="A22" s="4" t="s">
        <v>68</v>
      </c>
      <c r="B22" s="4">
        <v>1</v>
      </c>
      <c r="C22" s="4">
        <v>153992685</v>
      </c>
      <c r="D22" s="4">
        <v>154155116</v>
      </c>
      <c r="E22" s="4">
        <v>1.9298032E-2</v>
      </c>
      <c r="F22" s="4" t="s">
        <v>69</v>
      </c>
      <c r="G22" s="4" t="s">
        <v>70</v>
      </c>
      <c r="H22" s="5">
        <v>1.72914697375</v>
      </c>
      <c r="I22" s="5">
        <v>2.600860623125</v>
      </c>
      <c r="J22" s="5">
        <v>0.90854817499999996</v>
      </c>
      <c r="K22" s="5">
        <v>1.8748597599999999</v>
      </c>
      <c r="L22" s="6">
        <f t="shared" si="0"/>
        <v>-0.87171364937499995</v>
      </c>
      <c r="M22" s="6">
        <f t="shared" si="1"/>
        <v>-0.96631158499999992</v>
      </c>
    </row>
    <row r="23" spans="1:13" x14ac:dyDescent="0.3">
      <c r="A23" s="4" t="s">
        <v>71</v>
      </c>
      <c r="B23" s="4">
        <v>1</v>
      </c>
      <c r="C23" s="4">
        <v>156072013</v>
      </c>
      <c r="D23" s="4">
        <v>156081998</v>
      </c>
      <c r="E23" s="4">
        <v>2.9076320999999999E-2</v>
      </c>
      <c r="F23" s="4" t="s">
        <v>72</v>
      </c>
      <c r="G23" s="4" t="s">
        <v>73</v>
      </c>
      <c r="H23" s="5">
        <v>0.2700273081666667</v>
      </c>
      <c r="I23" s="5">
        <v>2.1792210750000001</v>
      </c>
      <c r="J23" s="5">
        <v>-2.0491696566666664</v>
      </c>
      <c r="K23" s="5">
        <v>1.1460920333333333</v>
      </c>
      <c r="L23" s="6">
        <f t="shared" si="0"/>
        <v>-1.9091937668333334</v>
      </c>
      <c r="M23" s="6">
        <f t="shared" si="1"/>
        <v>-3.1952616899999997</v>
      </c>
    </row>
    <row r="24" spans="1:13" x14ac:dyDescent="0.3">
      <c r="A24" s="4" t="s">
        <v>74</v>
      </c>
      <c r="B24" s="4">
        <v>1</v>
      </c>
      <c r="C24" s="4">
        <v>156579727</v>
      </c>
      <c r="D24" s="4">
        <v>156586770</v>
      </c>
      <c r="E24" s="4">
        <v>3.3168580000000003E-2</v>
      </c>
      <c r="F24" s="4" t="s">
        <v>75</v>
      </c>
      <c r="G24" s="4" t="s">
        <v>76</v>
      </c>
      <c r="H24" s="5">
        <v>-0.67066385125000005</v>
      </c>
      <c r="I24" s="5">
        <v>-2.8559148749999999</v>
      </c>
      <c r="J24" s="5">
        <v>0.87805550499999996</v>
      </c>
      <c r="K24" s="5">
        <v>-3.1610851333333336</v>
      </c>
      <c r="L24" s="6">
        <f t="shared" si="0"/>
        <v>2.1852510237499998</v>
      </c>
      <c r="M24" s="6">
        <f t="shared" si="1"/>
        <v>4.0391406383333335</v>
      </c>
    </row>
    <row r="25" spans="1:13" x14ac:dyDescent="0.3">
      <c r="A25" s="4" t="s">
        <v>77</v>
      </c>
      <c r="B25" s="4">
        <v>1</v>
      </c>
      <c r="C25" s="4">
        <v>157674321</v>
      </c>
      <c r="D25" s="4">
        <v>157700857</v>
      </c>
      <c r="E25" s="4">
        <v>3.3225864000000001E-2</v>
      </c>
      <c r="F25" s="4" t="s">
        <v>78</v>
      </c>
      <c r="G25" s="4" t="s">
        <v>79</v>
      </c>
      <c r="H25" s="5">
        <v>2.3352030163333333</v>
      </c>
      <c r="I25" s="5">
        <v>0.40921103562500005</v>
      </c>
      <c r="J25" s="5">
        <v>3.7045441333333327</v>
      </c>
      <c r="K25" s="5">
        <v>-0.85878819999999989</v>
      </c>
      <c r="L25" s="6">
        <f t="shared" si="0"/>
        <v>1.9259919807083332</v>
      </c>
      <c r="M25" s="6">
        <f t="shared" si="1"/>
        <v>4.5633323333333324</v>
      </c>
    </row>
    <row r="26" spans="1:13" x14ac:dyDescent="0.3">
      <c r="A26" s="4" t="s">
        <v>80</v>
      </c>
      <c r="B26" s="4">
        <v>1</v>
      </c>
      <c r="C26" s="4">
        <v>157745733</v>
      </c>
      <c r="D26" s="4">
        <v>157777132</v>
      </c>
      <c r="E26" s="4">
        <v>1.9298032E-2</v>
      </c>
      <c r="F26" s="4" t="s">
        <v>81</v>
      </c>
      <c r="G26" s="4" t="s">
        <v>82</v>
      </c>
      <c r="H26" s="5">
        <v>0.77832227666666698</v>
      </c>
      <c r="I26" s="5">
        <v>-0.94271802124999993</v>
      </c>
      <c r="J26" s="5">
        <v>1.3994373399999998</v>
      </c>
      <c r="K26" s="5">
        <v>-3.1225927100000006</v>
      </c>
      <c r="L26" s="6">
        <f t="shared" si="0"/>
        <v>1.7210402979166668</v>
      </c>
      <c r="M26" s="6">
        <f t="shared" si="1"/>
        <v>4.5220300500000006</v>
      </c>
    </row>
    <row r="27" spans="1:13" x14ac:dyDescent="0.3">
      <c r="A27" s="4" t="s">
        <v>83</v>
      </c>
      <c r="B27" s="4">
        <v>1</v>
      </c>
      <c r="C27" s="4">
        <v>158831317</v>
      </c>
      <c r="D27" s="4">
        <v>158849506</v>
      </c>
      <c r="E27" s="4">
        <v>4.5212719999999998E-2</v>
      </c>
      <c r="F27" s="4" t="s">
        <v>84</v>
      </c>
      <c r="G27" s="4" t="s">
        <v>85</v>
      </c>
      <c r="H27" s="5">
        <v>2.7727280291666667</v>
      </c>
      <c r="I27" s="5">
        <v>1.5687642212500001</v>
      </c>
      <c r="J27" s="5">
        <v>3.4399458166666665</v>
      </c>
      <c r="K27" s="5">
        <v>2.6927128000000002</v>
      </c>
      <c r="L27" s="6">
        <f t="shared" si="0"/>
        <v>1.2039638079166666</v>
      </c>
      <c r="M27" s="6">
        <f t="shared" si="1"/>
        <v>0.74723301666666631</v>
      </c>
    </row>
    <row r="28" spans="1:13" x14ac:dyDescent="0.3">
      <c r="A28" s="4" t="s">
        <v>86</v>
      </c>
      <c r="B28" s="4">
        <v>1</v>
      </c>
      <c r="C28" s="4">
        <v>158930796</v>
      </c>
      <c r="D28" s="4">
        <v>158977054</v>
      </c>
      <c r="E28" s="4">
        <v>1.9429453000000001E-3</v>
      </c>
      <c r="F28" s="4" t="s">
        <v>87</v>
      </c>
      <c r="G28" s="4" t="s">
        <v>88</v>
      </c>
      <c r="H28" s="5">
        <v>2.9991072808333326</v>
      </c>
      <c r="I28" s="5">
        <v>0.93196425875000011</v>
      </c>
      <c r="J28" s="5">
        <v>4.1708562999999996</v>
      </c>
      <c r="K28" s="5">
        <v>1.8992396266666667</v>
      </c>
      <c r="L28" s="6">
        <f t="shared" si="0"/>
        <v>2.0671430220833322</v>
      </c>
      <c r="M28" s="6">
        <f t="shared" si="1"/>
        <v>2.2716166733333329</v>
      </c>
    </row>
    <row r="29" spans="1:13" x14ac:dyDescent="0.3">
      <c r="A29" s="4" t="s">
        <v>89</v>
      </c>
      <c r="B29" s="4">
        <v>1</v>
      </c>
      <c r="C29" s="4">
        <v>159171609</v>
      </c>
      <c r="D29" s="4">
        <v>159203313</v>
      </c>
      <c r="E29" s="4">
        <v>2.6101084E-2</v>
      </c>
      <c r="F29" s="4" t="s">
        <v>90</v>
      </c>
      <c r="G29" s="4" t="s">
        <v>91</v>
      </c>
      <c r="H29" s="5">
        <v>1.4555063820416665</v>
      </c>
      <c r="I29" s="5">
        <v>-0.37298585625000003</v>
      </c>
      <c r="J29" s="5">
        <v>1.0745210299999999</v>
      </c>
      <c r="K29" s="5">
        <v>1.8403391333333332</v>
      </c>
      <c r="L29" s="6">
        <f t="shared" si="0"/>
        <v>1.8284922382916666</v>
      </c>
      <c r="M29" s="6">
        <f t="shared" si="1"/>
        <v>-0.76581810333333333</v>
      </c>
    </row>
    <row r="30" spans="1:13" x14ac:dyDescent="0.3">
      <c r="A30" s="4" t="s">
        <v>92</v>
      </c>
      <c r="B30" s="4">
        <v>1</v>
      </c>
      <c r="C30" s="4">
        <v>159195985</v>
      </c>
      <c r="D30" s="4">
        <v>159207973</v>
      </c>
      <c r="E30" s="4">
        <v>4.1277990000000001E-2</v>
      </c>
      <c r="F30" s="4" t="s">
        <v>93</v>
      </c>
      <c r="G30" s="4" t="s">
        <v>94</v>
      </c>
      <c r="H30" s="5">
        <v>0.56929220708333339</v>
      </c>
      <c r="I30" s="5">
        <v>-1.0741691874999999</v>
      </c>
      <c r="J30" s="5">
        <v>0.40048750166666663</v>
      </c>
      <c r="K30" s="5">
        <v>0.98907999000000002</v>
      </c>
      <c r="L30" s="6">
        <f t="shared" si="0"/>
        <v>1.6434613945833334</v>
      </c>
      <c r="M30" s="6">
        <f t="shared" si="1"/>
        <v>-0.58859248833333333</v>
      </c>
    </row>
    <row r="31" spans="1:13" x14ac:dyDescent="0.3">
      <c r="A31" s="4" t="s">
        <v>95</v>
      </c>
      <c r="B31" s="4">
        <v>1</v>
      </c>
      <c r="C31" s="4">
        <v>159834474</v>
      </c>
      <c r="D31" s="4">
        <v>159855347</v>
      </c>
      <c r="E31" s="4">
        <v>2.6614599999999999E-2</v>
      </c>
      <c r="F31" s="4" t="s">
        <v>96</v>
      </c>
      <c r="G31" s="4" t="s">
        <v>97</v>
      </c>
      <c r="H31" s="5">
        <v>1.20044523375</v>
      </c>
      <c r="I31" s="5">
        <v>-0.42899249374999998</v>
      </c>
      <c r="J31" s="5">
        <v>1.8028316499999999</v>
      </c>
      <c r="K31" s="5">
        <v>0.97459216666666659</v>
      </c>
      <c r="L31" s="6">
        <f t="shared" si="0"/>
        <v>1.6294377275</v>
      </c>
      <c r="M31" s="6">
        <f t="shared" si="1"/>
        <v>0.8282394833333333</v>
      </c>
    </row>
    <row r="32" spans="1:13" x14ac:dyDescent="0.3">
      <c r="A32" s="4" t="s">
        <v>98</v>
      </c>
      <c r="B32" s="4">
        <v>1</v>
      </c>
      <c r="C32" s="4">
        <v>160485030</v>
      </c>
      <c r="D32" s="4">
        <v>160523262</v>
      </c>
      <c r="E32" s="4">
        <v>1.0267640999999999E-2</v>
      </c>
      <c r="F32" s="4" t="s">
        <v>99</v>
      </c>
      <c r="G32" s="4" t="s">
        <v>100</v>
      </c>
      <c r="H32" s="5">
        <v>2.3476617658333332</v>
      </c>
      <c r="I32" s="5">
        <v>0.450839208125</v>
      </c>
      <c r="J32" s="5">
        <v>3.716599033333333</v>
      </c>
      <c r="K32" s="5">
        <v>0.43633095666666666</v>
      </c>
      <c r="L32" s="6">
        <f t="shared" si="0"/>
        <v>1.8968225577083331</v>
      </c>
      <c r="M32" s="6">
        <f t="shared" si="1"/>
        <v>3.2802680766666663</v>
      </c>
    </row>
    <row r="33" spans="1:13" x14ac:dyDescent="0.3">
      <c r="A33" s="4" t="s">
        <v>101</v>
      </c>
      <c r="B33" s="4">
        <v>1</v>
      </c>
      <c r="C33" s="4">
        <v>160541095</v>
      </c>
      <c r="D33" s="4">
        <v>160579516</v>
      </c>
      <c r="E33" s="4">
        <v>4.5212719999999998E-2</v>
      </c>
      <c r="F33" s="4" t="s">
        <v>102</v>
      </c>
      <c r="G33" s="4" t="s">
        <v>103</v>
      </c>
      <c r="H33" s="5">
        <v>3.6984062125000006</v>
      </c>
      <c r="I33" s="5">
        <v>2.6096405412500001</v>
      </c>
      <c r="J33" s="5">
        <v>4.6954782833333324</v>
      </c>
      <c r="K33" s="5">
        <v>2.8184454666666667</v>
      </c>
      <c r="L33" s="6">
        <f t="shared" si="0"/>
        <v>1.0887656712500005</v>
      </c>
      <c r="M33" s="6">
        <f t="shared" si="1"/>
        <v>1.8770328166666657</v>
      </c>
    </row>
    <row r="34" spans="1:13" x14ac:dyDescent="0.3">
      <c r="A34" s="4" t="s">
        <v>104</v>
      </c>
      <c r="B34" s="4">
        <v>1</v>
      </c>
      <c r="C34" s="4">
        <v>160608100</v>
      </c>
      <c r="D34" s="4">
        <v>160647295</v>
      </c>
      <c r="E34" s="4">
        <v>2.6503804999999998E-2</v>
      </c>
      <c r="F34" s="4" t="s">
        <v>105</v>
      </c>
      <c r="G34" s="4" t="s">
        <v>106</v>
      </c>
      <c r="H34" s="5">
        <v>2.3278825760583337</v>
      </c>
      <c r="I34" s="5">
        <v>0.49561730874999987</v>
      </c>
      <c r="J34" s="5">
        <v>3.4883620333333334</v>
      </c>
      <c r="K34" s="5">
        <v>0.79131612666666662</v>
      </c>
      <c r="L34" s="6">
        <f t="shared" si="0"/>
        <v>1.8322652673083337</v>
      </c>
      <c r="M34" s="6">
        <f t="shared" si="1"/>
        <v>2.6970459066666668</v>
      </c>
    </row>
    <row r="35" spans="1:13" x14ac:dyDescent="0.3">
      <c r="A35" s="4" t="s">
        <v>107</v>
      </c>
      <c r="B35" s="4">
        <v>1</v>
      </c>
      <c r="C35" s="4">
        <v>160678746</v>
      </c>
      <c r="D35" s="4">
        <v>160711851</v>
      </c>
      <c r="E35" s="4">
        <v>5.5868840000000003E-3</v>
      </c>
      <c r="F35" s="4" t="s">
        <v>108</v>
      </c>
      <c r="G35" s="4" t="s">
        <v>109</v>
      </c>
      <c r="H35" s="5">
        <v>3.3611411849999993</v>
      </c>
      <c r="I35" s="5">
        <v>1.8702877637499999</v>
      </c>
      <c r="J35" s="5">
        <v>4.1258524333333337</v>
      </c>
      <c r="K35" s="5">
        <v>1.9934357333333335</v>
      </c>
      <c r="L35" s="6">
        <f t="shared" si="0"/>
        <v>1.4908534212499993</v>
      </c>
      <c r="M35" s="6">
        <f t="shared" si="1"/>
        <v>2.1324167000000003</v>
      </c>
    </row>
    <row r="36" spans="1:13" x14ac:dyDescent="0.3">
      <c r="A36" s="4" t="s">
        <v>110</v>
      </c>
      <c r="B36" s="4">
        <v>1</v>
      </c>
      <c r="C36" s="4">
        <v>160739057</v>
      </c>
      <c r="D36" s="4">
        <v>160754821</v>
      </c>
      <c r="E36" s="4">
        <v>1.9429453000000001E-3</v>
      </c>
      <c r="F36" s="4" t="s">
        <v>111</v>
      </c>
      <c r="G36" s="4" t="s">
        <v>112</v>
      </c>
      <c r="H36" s="5">
        <v>3.1924520691666665</v>
      </c>
      <c r="I36" s="5">
        <v>1.4607354112499999</v>
      </c>
      <c r="J36" s="5">
        <v>4.6366492500000005</v>
      </c>
      <c r="K36" s="5">
        <v>2.0991997666666666</v>
      </c>
      <c r="L36" s="6">
        <f t="shared" si="0"/>
        <v>1.7317166579166665</v>
      </c>
      <c r="M36" s="6">
        <f t="shared" si="1"/>
        <v>2.5374494833333339</v>
      </c>
    </row>
    <row r="37" spans="1:13" x14ac:dyDescent="0.3">
      <c r="A37" s="4" t="s">
        <v>113</v>
      </c>
      <c r="B37" s="4">
        <v>1</v>
      </c>
      <c r="C37" s="4">
        <v>160796074</v>
      </c>
      <c r="D37" s="4">
        <v>160828261</v>
      </c>
      <c r="E37" s="4">
        <v>2.8619219000000001E-2</v>
      </c>
      <c r="F37" s="4" t="s">
        <v>114</v>
      </c>
      <c r="G37" s="4" t="s">
        <v>115</v>
      </c>
      <c r="H37" s="5">
        <v>1.8106676514833335</v>
      </c>
      <c r="I37" s="5">
        <v>0.35256447000000002</v>
      </c>
      <c r="J37" s="5">
        <v>3.1494950166666666</v>
      </c>
      <c r="K37" s="5">
        <v>-0.17525900666666661</v>
      </c>
      <c r="L37" s="6">
        <f t="shared" si="0"/>
        <v>1.4581031814833336</v>
      </c>
      <c r="M37" s="6">
        <f t="shared" si="1"/>
        <v>3.324754023333333</v>
      </c>
    </row>
    <row r="38" spans="1:13" x14ac:dyDescent="0.3">
      <c r="A38" s="4" t="s">
        <v>116</v>
      </c>
      <c r="B38" s="4">
        <v>1</v>
      </c>
      <c r="C38" s="4">
        <v>167430640</v>
      </c>
      <c r="D38" s="4">
        <v>167518610</v>
      </c>
      <c r="E38" s="4">
        <v>2.9076320999999999E-2</v>
      </c>
      <c r="F38" s="4" t="s">
        <v>117</v>
      </c>
      <c r="G38" s="4" t="s">
        <v>118</v>
      </c>
      <c r="H38" s="5">
        <v>2.3437203441416665</v>
      </c>
      <c r="I38" s="5">
        <v>0.90154504999999985</v>
      </c>
      <c r="J38" s="5">
        <v>4.0871578499999996</v>
      </c>
      <c r="K38" s="5">
        <v>0.95491166333333355</v>
      </c>
      <c r="L38" s="6">
        <f t="shared" si="0"/>
        <v>1.4421752941416668</v>
      </c>
      <c r="M38" s="6">
        <f t="shared" si="1"/>
        <v>3.132246186666666</v>
      </c>
    </row>
    <row r="39" spans="1:13" x14ac:dyDescent="0.3">
      <c r="A39" s="4" t="s">
        <v>119</v>
      </c>
      <c r="B39" s="4">
        <v>1</v>
      </c>
      <c r="C39" s="4">
        <v>167630093</v>
      </c>
      <c r="D39" s="4">
        <v>167706249</v>
      </c>
      <c r="E39" s="4">
        <v>2.5112896999999999E-2</v>
      </c>
      <c r="F39" s="4" t="s">
        <v>120</v>
      </c>
      <c r="G39" s="4" t="s">
        <v>121</v>
      </c>
      <c r="H39" s="5">
        <v>3.0295366833333337</v>
      </c>
      <c r="I39" s="5">
        <v>1.8526304087499998</v>
      </c>
      <c r="J39" s="5">
        <v>3.5363718</v>
      </c>
      <c r="K39" s="5">
        <v>2.1825163666666669</v>
      </c>
      <c r="L39" s="6">
        <f t="shared" si="0"/>
        <v>1.1769062745833339</v>
      </c>
      <c r="M39" s="6">
        <f t="shared" si="1"/>
        <v>1.353855433333333</v>
      </c>
    </row>
    <row r="40" spans="1:13" x14ac:dyDescent="0.3">
      <c r="A40" s="4" t="s">
        <v>122</v>
      </c>
      <c r="B40" s="4">
        <v>1</v>
      </c>
      <c r="C40" s="4">
        <v>169690667</v>
      </c>
      <c r="D40" s="4">
        <v>169711698</v>
      </c>
      <c r="E40" s="4">
        <v>3.5903736999999998E-2</v>
      </c>
      <c r="F40" s="4" t="s">
        <v>123</v>
      </c>
      <c r="G40" s="4" t="s">
        <v>124</v>
      </c>
      <c r="H40" s="5">
        <v>2.8897343224999994</v>
      </c>
      <c r="I40" s="5">
        <v>1.9765115950000001</v>
      </c>
      <c r="J40" s="5">
        <v>4.0462232</v>
      </c>
      <c r="K40" s="5">
        <v>2.1560098000000001</v>
      </c>
      <c r="L40" s="6">
        <f t="shared" si="0"/>
        <v>0.91322272749999933</v>
      </c>
      <c r="M40" s="6">
        <f t="shared" si="1"/>
        <v>1.8902133999999999</v>
      </c>
    </row>
    <row r="41" spans="1:13" x14ac:dyDescent="0.3">
      <c r="A41" s="4" t="s">
        <v>125</v>
      </c>
      <c r="B41" s="4">
        <v>1</v>
      </c>
      <c r="C41" s="4">
        <v>171090877</v>
      </c>
      <c r="D41" s="4">
        <v>171117819</v>
      </c>
      <c r="E41" s="4">
        <v>1.9995580999999998E-2</v>
      </c>
      <c r="F41" s="4" t="s">
        <v>126</v>
      </c>
      <c r="G41" s="4" t="s">
        <v>127</v>
      </c>
      <c r="H41" s="5">
        <v>1.4372914219583335</v>
      </c>
      <c r="I41" s="5">
        <v>7.3651249999998059E-4</v>
      </c>
      <c r="J41" s="5">
        <v>1.952782475</v>
      </c>
      <c r="K41" s="5">
        <v>0.43853553999999995</v>
      </c>
      <c r="L41" s="6">
        <f t="shared" si="0"/>
        <v>1.4365549094583334</v>
      </c>
      <c r="M41" s="6">
        <f t="shared" si="1"/>
        <v>1.5142469350000001</v>
      </c>
    </row>
    <row r="42" spans="1:13" x14ac:dyDescent="0.3">
      <c r="A42" s="4" t="s">
        <v>128</v>
      </c>
      <c r="B42" s="4">
        <v>1</v>
      </c>
      <c r="C42" s="4">
        <v>172659018</v>
      </c>
      <c r="D42" s="4">
        <v>172666874</v>
      </c>
      <c r="E42" s="4">
        <v>3.3804340000000002E-2</v>
      </c>
      <c r="F42" s="4" t="s">
        <v>129</v>
      </c>
      <c r="G42" s="4" t="s">
        <v>130</v>
      </c>
      <c r="H42" s="5">
        <v>0.31356120874999999</v>
      </c>
      <c r="I42" s="5">
        <v>-2.4108255249999999</v>
      </c>
      <c r="J42" s="5">
        <v>2.225265711</v>
      </c>
      <c r="K42" s="5">
        <v>-0.86476215333333339</v>
      </c>
      <c r="L42" s="6">
        <f t="shared" si="0"/>
        <v>2.7243867337499998</v>
      </c>
      <c r="M42" s="6">
        <f t="shared" si="1"/>
        <v>3.0900278643333334</v>
      </c>
    </row>
    <row r="43" spans="1:13" x14ac:dyDescent="0.3">
      <c r="A43" s="4" t="s">
        <v>131</v>
      </c>
      <c r="B43" s="4">
        <v>1</v>
      </c>
      <c r="C43" s="4">
        <v>173183734</v>
      </c>
      <c r="D43" s="4">
        <v>173207313</v>
      </c>
      <c r="E43" s="4">
        <v>2.0978851E-2</v>
      </c>
      <c r="F43" s="4" t="s">
        <v>132</v>
      </c>
      <c r="G43" s="4" t="s">
        <v>133</v>
      </c>
      <c r="H43" s="5">
        <v>0.96519077124999997</v>
      </c>
      <c r="I43" s="5">
        <v>-0.67760103837499996</v>
      </c>
      <c r="J43" s="5">
        <v>0.50712388233333339</v>
      </c>
      <c r="K43" s="5">
        <v>9.9368180000000028E-2</v>
      </c>
      <c r="L43" s="6">
        <f t="shared" si="0"/>
        <v>1.6427918096249998</v>
      </c>
      <c r="M43" s="6">
        <f t="shared" si="1"/>
        <v>0.40775570233333336</v>
      </c>
    </row>
    <row r="44" spans="1:13" x14ac:dyDescent="0.3">
      <c r="A44" s="4" t="s">
        <v>134</v>
      </c>
      <c r="B44" s="4">
        <v>1</v>
      </c>
      <c r="C44" s="4">
        <v>198638671</v>
      </c>
      <c r="D44" s="4">
        <v>198757283</v>
      </c>
      <c r="E44" s="4">
        <v>1.3861043E-2</v>
      </c>
      <c r="F44" s="4" t="s">
        <v>135</v>
      </c>
      <c r="G44" s="4" t="s">
        <v>136</v>
      </c>
      <c r="H44" s="5">
        <v>6.5674931749999983</v>
      </c>
      <c r="I44" s="5">
        <v>5.701315975</v>
      </c>
      <c r="J44" s="5">
        <v>7.2214459</v>
      </c>
      <c r="K44" s="5">
        <v>5.7865914333333324</v>
      </c>
      <c r="L44" s="6">
        <f t="shared" si="0"/>
        <v>0.86617719999999832</v>
      </c>
      <c r="M44" s="6">
        <f t="shared" si="1"/>
        <v>1.4348544666666676</v>
      </c>
    </row>
    <row r="45" spans="1:13" x14ac:dyDescent="0.3">
      <c r="A45" s="4" t="s">
        <v>137</v>
      </c>
      <c r="B45" s="4">
        <v>1</v>
      </c>
      <c r="C45" s="4">
        <v>203765176</v>
      </c>
      <c r="D45" s="4">
        <v>203776233</v>
      </c>
      <c r="E45" s="4">
        <v>1.3039683999999999E-2</v>
      </c>
      <c r="F45" s="4" t="s">
        <v>138</v>
      </c>
      <c r="G45" s="4" t="s">
        <v>139</v>
      </c>
      <c r="H45" s="5">
        <v>1.9077120635416669</v>
      </c>
      <c r="I45" s="5">
        <v>0.17872414375000004</v>
      </c>
      <c r="J45" s="5">
        <v>3.2191053666666662</v>
      </c>
      <c r="K45" s="5">
        <v>0.39085791666666664</v>
      </c>
      <c r="L45" s="6">
        <f t="shared" si="0"/>
        <v>1.7289879197916669</v>
      </c>
      <c r="M45" s="6">
        <f t="shared" si="1"/>
        <v>2.8282474499999997</v>
      </c>
    </row>
    <row r="46" spans="1:13" x14ac:dyDescent="0.3">
      <c r="A46" s="4" t="s">
        <v>140</v>
      </c>
      <c r="B46" s="4">
        <v>1</v>
      </c>
      <c r="C46" s="4">
        <v>206507530</v>
      </c>
      <c r="D46" s="4">
        <v>206589283</v>
      </c>
      <c r="E46" s="4">
        <v>8.9456329999999997E-3</v>
      </c>
      <c r="F46" s="4" t="s">
        <v>141</v>
      </c>
      <c r="G46" s="4" t="s">
        <v>142</v>
      </c>
      <c r="H46" s="5">
        <v>3.1708683124999997</v>
      </c>
      <c r="I46" s="5">
        <v>1.8760622462499998</v>
      </c>
      <c r="J46" s="5">
        <v>3.8481703499999997</v>
      </c>
      <c r="K46" s="5">
        <v>2.4492799666666669</v>
      </c>
      <c r="L46" s="6">
        <f t="shared" si="0"/>
        <v>1.2948060662499998</v>
      </c>
      <c r="M46" s="6">
        <f t="shared" si="1"/>
        <v>1.3988903833333328</v>
      </c>
    </row>
    <row r="47" spans="1:13" x14ac:dyDescent="0.3">
      <c r="A47" s="4" t="s">
        <v>143</v>
      </c>
      <c r="B47" s="4">
        <v>1</v>
      </c>
      <c r="C47" s="4">
        <v>206904386</v>
      </c>
      <c r="D47" s="4">
        <v>206923247</v>
      </c>
      <c r="E47" s="4">
        <v>2.0456715E-2</v>
      </c>
      <c r="F47" s="4" t="s">
        <v>144</v>
      </c>
      <c r="G47" s="4" t="s">
        <v>145</v>
      </c>
      <c r="H47" s="5">
        <v>2.7574804679166665</v>
      </c>
      <c r="I47" s="5">
        <v>1.7251871750000001</v>
      </c>
      <c r="J47" s="5">
        <v>3.7785006833333328</v>
      </c>
      <c r="K47" s="5">
        <v>1.1574077566666667</v>
      </c>
      <c r="L47" s="6">
        <f t="shared" si="0"/>
        <v>1.0322932929166664</v>
      </c>
      <c r="M47" s="6">
        <f t="shared" si="1"/>
        <v>2.621092926666666</v>
      </c>
    </row>
    <row r="48" spans="1:13" x14ac:dyDescent="0.3">
      <c r="A48" s="4" t="s">
        <v>146</v>
      </c>
      <c r="B48" s="4">
        <v>1</v>
      </c>
      <c r="C48" s="4">
        <v>209756032</v>
      </c>
      <c r="D48" s="4">
        <v>209782320</v>
      </c>
      <c r="E48" s="4">
        <v>3.2043380000000003E-2</v>
      </c>
      <c r="F48" s="4" t="s">
        <v>147</v>
      </c>
      <c r="G48" s="4" t="s">
        <v>148</v>
      </c>
      <c r="H48" s="5">
        <v>3.4231074833333328</v>
      </c>
      <c r="I48" s="5">
        <v>2.1897034375</v>
      </c>
      <c r="J48" s="5">
        <v>4.3304057166666663</v>
      </c>
      <c r="K48" s="5">
        <v>2.4428123333333334</v>
      </c>
      <c r="L48" s="6">
        <f t="shared" si="0"/>
        <v>1.2334040458333329</v>
      </c>
      <c r="M48" s="6">
        <f t="shared" si="1"/>
        <v>1.8875933833333329</v>
      </c>
    </row>
    <row r="49" spans="1:13" x14ac:dyDescent="0.3">
      <c r="A49" s="4" t="s">
        <v>149</v>
      </c>
      <c r="B49" s="4">
        <v>1</v>
      </c>
      <c r="C49" s="4">
        <v>222737207</v>
      </c>
      <c r="D49" s="4">
        <v>222750805</v>
      </c>
      <c r="E49" s="4">
        <v>3.3804340000000002E-2</v>
      </c>
      <c r="F49" s="4" t="s">
        <v>150</v>
      </c>
      <c r="G49" s="4" t="s">
        <v>151</v>
      </c>
      <c r="H49" s="5">
        <v>-1.0842239170833334</v>
      </c>
      <c r="I49" s="5">
        <v>-2.605505425</v>
      </c>
      <c r="J49" s="5">
        <v>-1.9523619250000002</v>
      </c>
      <c r="K49" s="5">
        <v>-1.21027084</v>
      </c>
      <c r="L49" s="6">
        <f t="shared" si="0"/>
        <v>1.5212815079166666</v>
      </c>
      <c r="M49" s="6">
        <f t="shared" si="1"/>
        <v>-0.74209108500000021</v>
      </c>
    </row>
    <row r="50" spans="1:13" x14ac:dyDescent="0.3">
      <c r="A50" s="4" t="s">
        <v>152</v>
      </c>
      <c r="B50" s="4">
        <v>1</v>
      </c>
      <c r="C50" s="4">
        <v>223109406</v>
      </c>
      <c r="D50" s="4">
        <v>223143282</v>
      </c>
      <c r="E50" s="4">
        <v>2.9076320999999999E-2</v>
      </c>
      <c r="F50" s="4" t="s">
        <v>153</v>
      </c>
      <c r="G50" s="4" t="s">
        <v>154</v>
      </c>
      <c r="H50" s="5">
        <v>2.9136446916666667</v>
      </c>
      <c r="I50" s="5">
        <v>1.9093146624999999</v>
      </c>
      <c r="J50" s="5">
        <v>3.6543352833333334</v>
      </c>
      <c r="K50" s="5">
        <v>2.5146551333333331</v>
      </c>
      <c r="L50" s="6">
        <f t="shared" si="0"/>
        <v>1.0043300291666668</v>
      </c>
      <c r="M50" s="6">
        <f t="shared" si="1"/>
        <v>1.1396801500000002</v>
      </c>
    </row>
    <row r="51" spans="1:13" x14ac:dyDescent="0.3">
      <c r="A51" s="4" t="s">
        <v>155</v>
      </c>
      <c r="B51" s="4">
        <v>2</v>
      </c>
      <c r="C51" s="4">
        <v>5692667</v>
      </c>
      <c r="D51" s="4">
        <v>5701385</v>
      </c>
      <c r="E51" s="7">
        <v>1.7063412000000001E-8</v>
      </c>
      <c r="F51" s="4" t="s">
        <v>156</v>
      </c>
      <c r="G51" s="4" t="s">
        <v>157</v>
      </c>
      <c r="H51" s="5">
        <v>-2.8667249600000004</v>
      </c>
      <c r="I51" s="5">
        <v>-1.7982299625</v>
      </c>
      <c r="J51" s="5">
        <v>-4.5158872666666667</v>
      </c>
      <c r="K51" s="5">
        <v>-2.3568246333333338</v>
      </c>
      <c r="L51" s="6">
        <f t="shared" si="0"/>
        <v>-1.0684949975000004</v>
      </c>
      <c r="M51" s="6">
        <f t="shared" si="1"/>
        <v>-2.1590626333333329</v>
      </c>
    </row>
    <row r="52" spans="1:13" x14ac:dyDescent="0.3">
      <c r="A52" s="4" t="s">
        <v>158</v>
      </c>
      <c r="B52" s="4">
        <v>2</v>
      </c>
      <c r="C52" s="4">
        <v>11677595</v>
      </c>
      <c r="D52" s="4">
        <v>11827409</v>
      </c>
      <c r="E52" s="4">
        <v>1.9995580999999998E-2</v>
      </c>
      <c r="F52" s="4" t="s">
        <v>159</v>
      </c>
      <c r="G52" s="4" t="s">
        <v>160</v>
      </c>
      <c r="H52" s="5">
        <v>5.2636225750000003</v>
      </c>
      <c r="I52" s="5">
        <v>4.6751392999999997</v>
      </c>
      <c r="J52" s="5">
        <v>5.3833987500000005</v>
      </c>
      <c r="K52" s="5">
        <v>4.8922311666666669</v>
      </c>
      <c r="L52" s="6">
        <f t="shared" si="0"/>
        <v>0.58848327500000064</v>
      </c>
      <c r="M52" s="6">
        <f t="shared" si="1"/>
        <v>0.49116758333333355</v>
      </c>
    </row>
    <row r="53" spans="1:13" x14ac:dyDescent="0.3">
      <c r="A53" s="4" t="s">
        <v>161</v>
      </c>
      <c r="B53" s="4">
        <v>2</v>
      </c>
      <c r="C53" s="4">
        <v>37641882</v>
      </c>
      <c r="D53" s="4">
        <v>37738468</v>
      </c>
      <c r="E53" s="4">
        <v>1.9995580999999998E-2</v>
      </c>
      <c r="F53" s="4" t="s">
        <v>162</v>
      </c>
      <c r="G53" s="4" t="s">
        <v>163</v>
      </c>
      <c r="H53" s="5">
        <v>3.4285308749999999</v>
      </c>
      <c r="I53" s="5">
        <v>2.4421483962499999</v>
      </c>
      <c r="J53" s="5">
        <v>3.1013158999999999</v>
      </c>
      <c r="K53" s="5">
        <v>3.2962850666666665</v>
      </c>
      <c r="L53" s="6">
        <f t="shared" si="0"/>
        <v>0.98638247874999996</v>
      </c>
      <c r="M53" s="6">
        <f t="shared" si="1"/>
        <v>-0.19496916666666664</v>
      </c>
    </row>
    <row r="54" spans="1:13" x14ac:dyDescent="0.3">
      <c r="A54" s="4" t="s">
        <v>164</v>
      </c>
      <c r="B54" s="4">
        <v>2</v>
      </c>
      <c r="C54" s="4">
        <v>65310851</v>
      </c>
      <c r="D54" s="4">
        <v>65432637</v>
      </c>
      <c r="E54" s="4">
        <v>4.8184070000000002E-2</v>
      </c>
      <c r="F54" s="4" t="s">
        <v>165</v>
      </c>
      <c r="G54" s="4" t="s">
        <v>166</v>
      </c>
      <c r="H54" s="5">
        <v>4.0309018499999993</v>
      </c>
      <c r="I54" s="5">
        <v>4.4842071875</v>
      </c>
      <c r="J54" s="5">
        <v>3.6021702833333329</v>
      </c>
      <c r="K54" s="5">
        <v>4.3346390333333327</v>
      </c>
      <c r="L54" s="6">
        <f t="shared" si="0"/>
        <v>-0.45330533750000068</v>
      </c>
      <c r="M54" s="6">
        <f t="shared" si="1"/>
        <v>-0.73246874999999978</v>
      </c>
    </row>
    <row r="55" spans="1:13" x14ac:dyDescent="0.3">
      <c r="A55" s="4" t="s">
        <v>167</v>
      </c>
      <c r="B55" s="4">
        <v>2</v>
      </c>
      <c r="C55" s="4">
        <v>74513463</v>
      </c>
      <c r="D55" s="4">
        <v>74517147</v>
      </c>
      <c r="E55" s="4">
        <v>4.3396990000000003E-2</v>
      </c>
      <c r="F55" s="4" t="s">
        <v>168</v>
      </c>
      <c r="G55" s="4" t="s">
        <v>169</v>
      </c>
      <c r="H55" s="5">
        <v>-3.3881792979166661</v>
      </c>
      <c r="I55" s="5">
        <v>-2.7342239032500002</v>
      </c>
      <c r="J55" s="5">
        <v>-4.2517268000000001</v>
      </c>
      <c r="K55" s="5">
        <v>-3.1610850333333338</v>
      </c>
      <c r="L55" s="6">
        <f t="shared" si="0"/>
        <v>-0.65395539466666586</v>
      </c>
      <c r="M55" s="6">
        <f t="shared" si="1"/>
        <v>-1.0906417666666663</v>
      </c>
    </row>
    <row r="56" spans="1:13" x14ac:dyDescent="0.3">
      <c r="A56" s="4" t="s">
        <v>170</v>
      </c>
      <c r="B56" s="4">
        <v>2</v>
      </c>
      <c r="C56" s="4">
        <v>84821650</v>
      </c>
      <c r="D56" s="4">
        <v>84907008</v>
      </c>
      <c r="E56" s="4">
        <v>1.9069777999999999E-2</v>
      </c>
      <c r="F56" s="4" t="s">
        <v>171</v>
      </c>
      <c r="G56" s="4" t="s">
        <v>172</v>
      </c>
      <c r="H56" s="5">
        <v>1.0587198833333333</v>
      </c>
      <c r="I56" s="5">
        <v>-0.65504409624999993</v>
      </c>
      <c r="J56" s="5">
        <v>1.4415099458333334</v>
      </c>
      <c r="K56" s="5">
        <v>1.6968480766666667</v>
      </c>
      <c r="L56" s="6">
        <f t="shared" si="0"/>
        <v>1.7137639795833333</v>
      </c>
      <c r="M56" s="6">
        <f t="shared" si="1"/>
        <v>-0.25533813083333334</v>
      </c>
    </row>
    <row r="57" spans="1:13" x14ac:dyDescent="0.3">
      <c r="A57" s="4" t="s">
        <v>173</v>
      </c>
      <c r="B57" s="4">
        <v>2</v>
      </c>
      <c r="C57" s="4">
        <v>86784610</v>
      </c>
      <c r="D57" s="4">
        <v>86808396</v>
      </c>
      <c r="E57" s="4">
        <v>7.5481454999999998E-3</v>
      </c>
      <c r="F57" s="4" t="s">
        <v>174</v>
      </c>
      <c r="G57" s="4" t="s">
        <v>175</v>
      </c>
      <c r="H57" s="5">
        <v>3.9378542458333339</v>
      </c>
      <c r="I57" s="5">
        <v>2.2198437337499999</v>
      </c>
      <c r="J57" s="5">
        <v>4.9963908000000004</v>
      </c>
      <c r="K57" s="5">
        <v>1.9820117333333336</v>
      </c>
      <c r="L57" s="6">
        <f t="shared" si="0"/>
        <v>1.718010512083334</v>
      </c>
      <c r="M57" s="6">
        <f t="shared" si="1"/>
        <v>3.0143790666666668</v>
      </c>
    </row>
    <row r="58" spans="1:13" x14ac:dyDescent="0.3">
      <c r="A58" s="4" t="s">
        <v>176</v>
      </c>
      <c r="B58" s="4">
        <v>2</v>
      </c>
      <c r="C58" s="4">
        <v>87755955</v>
      </c>
      <c r="D58" s="4">
        <v>87825952</v>
      </c>
      <c r="E58" s="4">
        <v>4.5056693000000002E-2</v>
      </c>
      <c r="F58" s="4" t="s">
        <v>177</v>
      </c>
      <c r="G58" s="4" t="s">
        <v>178</v>
      </c>
      <c r="H58" s="5">
        <v>0.92596932605833338</v>
      </c>
      <c r="I58" s="5">
        <v>-0.55666135000000005</v>
      </c>
      <c r="J58" s="5">
        <v>1.5620012733333333</v>
      </c>
      <c r="K58" s="5">
        <v>-1.2164760933333334</v>
      </c>
      <c r="L58" s="6">
        <f t="shared" si="0"/>
        <v>1.4826306760583334</v>
      </c>
      <c r="M58" s="6">
        <f t="shared" si="1"/>
        <v>2.7784773666666664</v>
      </c>
    </row>
    <row r="59" spans="1:13" x14ac:dyDescent="0.3">
      <c r="A59" s="4" t="s">
        <v>179</v>
      </c>
      <c r="B59" s="4">
        <v>2</v>
      </c>
      <c r="C59" s="4">
        <v>102311529</v>
      </c>
      <c r="D59" s="4">
        <v>102398775</v>
      </c>
      <c r="E59" s="4">
        <v>1.4751267E-2</v>
      </c>
      <c r="F59" s="4" t="s">
        <v>180</v>
      </c>
      <c r="G59" s="4" t="s">
        <v>181</v>
      </c>
      <c r="H59" s="5">
        <v>1.9677987615416672</v>
      </c>
      <c r="I59" s="5">
        <v>0.59626022874999995</v>
      </c>
      <c r="J59" s="5">
        <v>2.6806424833333335</v>
      </c>
      <c r="K59" s="5">
        <v>1.5191214733333336</v>
      </c>
      <c r="L59" s="6">
        <f t="shared" si="0"/>
        <v>1.3715385327916674</v>
      </c>
      <c r="M59" s="6">
        <f t="shared" si="1"/>
        <v>1.16152101</v>
      </c>
    </row>
    <row r="60" spans="1:13" x14ac:dyDescent="0.3">
      <c r="A60" s="4" t="s">
        <v>182</v>
      </c>
      <c r="B60" s="4">
        <v>2</v>
      </c>
      <c r="C60" s="4">
        <v>102418689</v>
      </c>
      <c r="D60" s="4">
        <v>102452565</v>
      </c>
      <c r="E60" s="4">
        <v>1.9326304999999998E-2</v>
      </c>
      <c r="F60" s="4" t="s">
        <v>183</v>
      </c>
      <c r="G60" s="4" t="s">
        <v>184</v>
      </c>
      <c r="H60" s="5">
        <v>0.7501386839166666</v>
      </c>
      <c r="I60" s="5">
        <v>-0.72044295374999989</v>
      </c>
      <c r="J60" s="5">
        <v>2.1854429949999998</v>
      </c>
      <c r="K60" s="5">
        <v>-0.9154298506666666</v>
      </c>
      <c r="L60" s="6">
        <f t="shared" si="0"/>
        <v>1.4705816376666665</v>
      </c>
      <c r="M60" s="6">
        <f t="shared" si="1"/>
        <v>3.1008728456666663</v>
      </c>
    </row>
    <row r="61" spans="1:13" x14ac:dyDescent="0.3">
      <c r="A61" s="4" t="s">
        <v>185</v>
      </c>
      <c r="B61" s="4">
        <v>2</v>
      </c>
      <c r="C61" s="4">
        <v>113157325</v>
      </c>
      <c r="D61" s="4">
        <v>113209396</v>
      </c>
      <c r="E61" s="4">
        <v>3.0690951000000001E-2</v>
      </c>
      <c r="F61" s="4" t="s">
        <v>186</v>
      </c>
      <c r="G61" s="4" t="s">
        <v>187</v>
      </c>
      <c r="H61" s="5">
        <v>3.3108099124999999</v>
      </c>
      <c r="I61" s="5">
        <v>2.1887841087500002</v>
      </c>
      <c r="J61" s="5">
        <v>4.1406855166666672</v>
      </c>
      <c r="K61" s="5">
        <v>2.6556721666666667</v>
      </c>
      <c r="L61" s="6">
        <f t="shared" si="0"/>
        <v>1.1220258037499997</v>
      </c>
      <c r="M61" s="6">
        <f t="shared" si="1"/>
        <v>1.4850133500000005</v>
      </c>
    </row>
    <row r="62" spans="1:13" x14ac:dyDescent="0.3">
      <c r="A62" s="4" t="s">
        <v>188</v>
      </c>
      <c r="B62" s="4">
        <v>2</v>
      </c>
      <c r="C62" s="4">
        <v>143091362</v>
      </c>
      <c r="D62" s="4">
        <v>143768352</v>
      </c>
      <c r="E62" s="4">
        <v>3.4687724000000003E-2</v>
      </c>
      <c r="F62" s="4" t="s">
        <v>189</v>
      </c>
      <c r="G62" s="4" t="s">
        <v>190</v>
      </c>
      <c r="H62" s="5">
        <v>3.7474501666666669</v>
      </c>
      <c r="I62" s="5">
        <v>2.9066573624999998</v>
      </c>
      <c r="J62" s="5">
        <v>4.2853631833333337</v>
      </c>
      <c r="K62" s="5">
        <v>3.4407137666666667</v>
      </c>
      <c r="L62" s="6">
        <f t="shared" si="0"/>
        <v>0.84079280416666702</v>
      </c>
      <c r="M62" s="6">
        <f t="shared" si="1"/>
        <v>0.84464941666666693</v>
      </c>
    </row>
    <row r="63" spans="1:13" x14ac:dyDescent="0.3">
      <c r="A63" s="4" t="s">
        <v>191</v>
      </c>
      <c r="B63" s="4">
        <v>2</v>
      </c>
      <c r="C63" s="4">
        <v>157318625</v>
      </c>
      <c r="D63" s="4">
        <v>157327713</v>
      </c>
      <c r="E63" s="4">
        <v>1.9429453000000001E-3</v>
      </c>
      <c r="F63" s="4" t="s">
        <v>192</v>
      </c>
      <c r="G63" s="4" t="s">
        <v>193</v>
      </c>
      <c r="H63" s="5">
        <v>0.13022671416666665</v>
      </c>
      <c r="I63" s="5">
        <v>-1.7700492037500002</v>
      </c>
      <c r="J63" s="5">
        <v>1.163495875</v>
      </c>
      <c r="K63" s="5">
        <v>-2.2029287333333332</v>
      </c>
      <c r="L63" s="6">
        <f t="shared" si="0"/>
        <v>1.9002759179166668</v>
      </c>
      <c r="M63" s="6">
        <f t="shared" si="1"/>
        <v>3.3664246083333333</v>
      </c>
    </row>
    <row r="64" spans="1:13" x14ac:dyDescent="0.3">
      <c r="A64" s="4" t="s">
        <v>194</v>
      </c>
      <c r="B64" s="4">
        <v>2</v>
      </c>
      <c r="C64" s="4">
        <v>157414619</v>
      </c>
      <c r="D64" s="4">
        <v>157488961</v>
      </c>
      <c r="E64" s="4">
        <v>1.4841062E-2</v>
      </c>
      <c r="F64" s="4" t="s">
        <v>195</v>
      </c>
      <c r="G64" s="4" t="s">
        <v>196</v>
      </c>
      <c r="H64" s="5">
        <v>3.4516953583333336</v>
      </c>
      <c r="I64" s="5">
        <v>2.4476620499999999</v>
      </c>
      <c r="J64" s="5">
        <v>4.2458997500000004</v>
      </c>
      <c r="K64" s="5">
        <v>1.9068010333333334</v>
      </c>
      <c r="L64" s="6">
        <f t="shared" si="0"/>
        <v>1.0040333083333337</v>
      </c>
      <c r="M64" s="6">
        <f t="shared" si="1"/>
        <v>2.3390987166666672</v>
      </c>
    </row>
    <row r="65" spans="1:13" x14ac:dyDescent="0.3">
      <c r="A65" s="4" t="s">
        <v>197</v>
      </c>
      <c r="B65" s="4">
        <v>2</v>
      </c>
      <c r="C65" s="4">
        <v>159771851</v>
      </c>
      <c r="D65" s="4">
        <v>159904710</v>
      </c>
      <c r="E65" s="4">
        <v>1.567141E-2</v>
      </c>
      <c r="F65" s="4" t="s">
        <v>198</v>
      </c>
      <c r="G65" s="4" t="s">
        <v>199</v>
      </c>
      <c r="H65" s="5">
        <v>5.1632854333333329</v>
      </c>
      <c r="I65" s="5">
        <v>4.1636789250000001</v>
      </c>
      <c r="J65" s="5">
        <v>5.8592616666666677</v>
      </c>
      <c r="K65" s="5">
        <v>4.6192700333333336</v>
      </c>
      <c r="L65" s="6">
        <f t="shared" si="0"/>
        <v>0.99960650833333276</v>
      </c>
      <c r="M65" s="6">
        <f t="shared" si="1"/>
        <v>1.2399916333333341</v>
      </c>
    </row>
    <row r="66" spans="1:13" x14ac:dyDescent="0.3">
      <c r="A66" s="4" t="s">
        <v>200</v>
      </c>
      <c r="B66" s="4">
        <v>2</v>
      </c>
      <c r="C66" s="4">
        <v>159803355</v>
      </c>
      <c r="D66" s="4">
        <v>159904749</v>
      </c>
      <c r="E66" s="4">
        <v>4.4897959999999999E-3</v>
      </c>
      <c r="F66" s="4" t="s">
        <v>201</v>
      </c>
      <c r="G66" s="4" t="s">
        <v>202</v>
      </c>
      <c r="H66" s="5">
        <v>4.6758042249999994</v>
      </c>
      <c r="I66" s="5">
        <v>3.2443403250000005</v>
      </c>
      <c r="J66" s="5">
        <v>5.6440092333333327</v>
      </c>
      <c r="K66" s="5">
        <v>3.7871458333333337</v>
      </c>
      <c r="L66" s="6">
        <f t="shared" si="0"/>
        <v>1.4314638999999989</v>
      </c>
      <c r="M66" s="6">
        <f t="shared" si="1"/>
        <v>1.8568633999999991</v>
      </c>
    </row>
    <row r="67" spans="1:13" x14ac:dyDescent="0.3">
      <c r="A67" s="4" t="s">
        <v>203</v>
      </c>
      <c r="B67" s="4">
        <v>2</v>
      </c>
      <c r="C67" s="4">
        <v>165469647</v>
      </c>
      <c r="D67" s="4">
        <v>165689407</v>
      </c>
      <c r="E67" s="4">
        <v>2.1171741000000001E-2</v>
      </c>
      <c r="F67" s="4" t="s">
        <v>204</v>
      </c>
      <c r="G67" s="4" t="s">
        <v>205</v>
      </c>
      <c r="H67" s="5">
        <v>0.32853806874999997</v>
      </c>
      <c r="I67" s="5">
        <v>1.0464465795</v>
      </c>
      <c r="J67" s="5">
        <v>-0.46648656666666666</v>
      </c>
      <c r="K67" s="5">
        <v>1.8379049999999999</v>
      </c>
      <c r="L67" s="6">
        <f t="shared" si="0"/>
        <v>-0.71790851075000006</v>
      </c>
      <c r="M67" s="6">
        <f t="shared" si="1"/>
        <v>-2.3043915666666663</v>
      </c>
    </row>
    <row r="68" spans="1:13" x14ac:dyDescent="0.3">
      <c r="A68" s="4" t="s">
        <v>206</v>
      </c>
      <c r="B68" s="4">
        <v>2</v>
      </c>
      <c r="C68" s="4">
        <v>171999583</v>
      </c>
      <c r="D68" s="4">
        <v>172082430</v>
      </c>
      <c r="E68" s="4">
        <v>2.1820616000000001E-2</v>
      </c>
      <c r="F68" s="4" t="s">
        <v>207</v>
      </c>
      <c r="G68" s="4" t="s">
        <v>208</v>
      </c>
      <c r="H68" s="5">
        <v>2.4220646541666664</v>
      </c>
      <c r="I68" s="5">
        <v>2.8105544375</v>
      </c>
      <c r="J68" s="5">
        <v>1.2527996166666666</v>
      </c>
      <c r="K68" s="5">
        <v>3.0565646999999996</v>
      </c>
      <c r="L68" s="6">
        <f t="shared" si="0"/>
        <v>-0.38848978333333362</v>
      </c>
      <c r="M68" s="6">
        <f t="shared" si="1"/>
        <v>-1.803765083333333</v>
      </c>
    </row>
    <row r="69" spans="1:13" x14ac:dyDescent="0.3">
      <c r="A69" s="4" t="s">
        <v>209</v>
      </c>
      <c r="B69" s="4">
        <v>2</v>
      </c>
      <c r="C69" s="4">
        <v>172084740</v>
      </c>
      <c r="D69" s="4">
        <v>172089677</v>
      </c>
      <c r="E69" s="4">
        <v>9.9552319999999996E-3</v>
      </c>
      <c r="F69" s="4" t="s">
        <v>210</v>
      </c>
      <c r="G69" s="4" t="s">
        <v>211</v>
      </c>
      <c r="H69" s="5">
        <v>-0.81917831541666652</v>
      </c>
      <c r="I69" s="5">
        <v>-0.50930086875000002</v>
      </c>
      <c r="J69" s="5">
        <v>-3.2078327833333327</v>
      </c>
      <c r="K69" s="5">
        <v>-1.2317843066666667</v>
      </c>
      <c r="L69" s="6">
        <f t="shared" ref="L69:L132" si="2">H69-I69</f>
        <v>-0.3098774466666665</v>
      </c>
      <c r="M69" s="6">
        <f t="shared" ref="M69:M132" si="3">J69-K69</f>
        <v>-1.9760484766666659</v>
      </c>
    </row>
    <row r="70" spans="1:13" x14ac:dyDescent="0.3">
      <c r="A70" s="4" t="s">
        <v>212</v>
      </c>
      <c r="B70" s="4">
        <v>2</v>
      </c>
      <c r="C70" s="4">
        <v>178829757</v>
      </c>
      <c r="D70" s="4">
        <v>179050086</v>
      </c>
      <c r="E70" s="4">
        <v>4.0258071999999999E-2</v>
      </c>
      <c r="F70" s="4" t="s">
        <v>213</v>
      </c>
      <c r="G70" s="4" t="s">
        <v>214</v>
      </c>
      <c r="H70" s="5">
        <v>3.9211632000000005</v>
      </c>
      <c r="I70" s="5">
        <v>2.8002511624999999</v>
      </c>
      <c r="J70" s="5">
        <v>4.5189630166666666</v>
      </c>
      <c r="K70" s="5">
        <v>3.0571861333333334</v>
      </c>
      <c r="L70" s="6">
        <f t="shared" si="2"/>
        <v>1.1209120375000006</v>
      </c>
      <c r="M70" s="6">
        <f t="shared" si="3"/>
        <v>1.4617768833333331</v>
      </c>
    </row>
    <row r="71" spans="1:13" x14ac:dyDescent="0.3">
      <c r="A71" s="4" t="s">
        <v>215</v>
      </c>
      <c r="B71" s="4">
        <v>2</v>
      </c>
      <c r="C71" s="4">
        <v>181891833</v>
      </c>
      <c r="D71" s="4">
        <v>181930738</v>
      </c>
      <c r="E71" s="4">
        <v>4.3839756000000001E-2</v>
      </c>
      <c r="F71" s="4" t="s">
        <v>216</v>
      </c>
      <c r="G71" s="4" t="s">
        <v>217</v>
      </c>
      <c r="H71" s="5">
        <v>6.3080654749999994</v>
      </c>
      <c r="I71" s="5">
        <v>6.626704587499999</v>
      </c>
      <c r="J71" s="5">
        <v>5.992733133333334</v>
      </c>
      <c r="K71" s="5">
        <v>6.3382798666666673</v>
      </c>
      <c r="L71" s="6">
        <f t="shared" si="2"/>
        <v>-0.31863911249999965</v>
      </c>
      <c r="M71" s="6">
        <f t="shared" si="3"/>
        <v>-0.3455467333333333</v>
      </c>
    </row>
    <row r="72" spans="1:13" x14ac:dyDescent="0.3">
      <c r="A72" s="4" t="s">
        <v>218</v>
      </c>
      <c r="B72" s="4">
        <v>2</v>
      </c>
      <c r="C72" s="4">
        <v>191029576</v>
      </c>
      <c r="D72" s="4">
        <v>191151596</v>
      </c>
      <c r="E72" s="4">
        <v>2.3147317000000001E-2</v>
      </c>
      <c r="F72" s="4" t="s">
        <v>219</v>
      </c>
      <c r="G72" s="4" t="s">
        <v>220</v>
      </c>
      <c r="H72" s="5">
        <v>3.4029263125000004</v>
      </c>
      <c r="I72" s="5">
        <v>2.4665663249999996</v>
      </c>
      <c r="J72" s="5">
        <v>4.4940489833333332</v>
      </c>
      <c r="K72" s="5">
        <v>2.8225851</v>
      </c>
      <c r="L72" s="6">
        <f t="shared" si="2"/>
        <v>0.93635998750000082</v>
      </c>
      <c r="M72" s="6">
        <f t="shared" si="3"/>
        <v>1.6714638833333333</v>
      </c>
    </row>
    <row r="73" spans="1:13" x14ac:dyDescent="0.3">
      <c r="A73" s="4" t="s">
        <v>221</v>
      </c>
      <c r="B73" s="4">
        <v>2</v>
      </c>
      <c r="C73" s="4">
        <v>191678068</v>
      </c>
      <c r="D73" s="4">
        <v>191696659</v>
      </c>
      <c r="E73" s="4">
        <v>1.77772E-2</v>
      </c>
      <c r="F73" s="4" t="s">
        <v>222</v>
      </c>
      <c r="G73" s="4" t="s">
        <v>223</v>
      </c>
      <c r="H73" s="5">
        <v>4.1092937166666674</v>
      </c>
      <c r="I73" s="5">
        <v>3.4815053625000001</v>
      </c>
      <c r="J73" s="5">
        <v>4.4250240833333327</v>
      </c>
      <c r="K73" s="5">
        <v>3.6632455000000004</v>
      </c>
      <c r="L73" s="6">
        <f t="shared" si="2"/>
        <v>0.62778835416666734</v>
      </c>
      <c r="M73" s="6">
        <f t="shared" si="3"/>
        <v>0.76177858333333237</v>
      </c>
    </row>
    <row r="74" spans="1:13" x14ac:dyDescent="0.3">
      <c r="A74" s="4" t="s">
        <v>224</v>
      </c>
      <c r="B74" s="4">
        <v>2</v>
      </c>
      <c r="C74" s="4">
        <v>219249711</v>
      </c>
      <c r="D74" s="4">
        <v>219278170</v>
      </c>
      <c r="E74" s="4">
        <v>3.7086290000000001E-2</v>
      </c>
      <c r="F74" s="4" t="s">
        <v>225</v>
      </c>
      <c r="G74" s="4" t="s">
        <v>226</v>
      </c>
      <c r="H74" s="5">
        <v>2.7041921225000003</v>
      </c>
      <c r="I74" s="5">
        <v>1.4004208812499999</v>
      </c>
      <c r="J74" s="5">
        <v>3.5885002499999996</v>
      </c>
      <c r="K74" s="5">
        <v>2.6439384000000001</v>
      </c>
      <c r="L74" s="6">
        <f t="shared" si="2"/>
        <v>1.3037712412500004</v>
      </c>
      <c r="M74" s="6">
        <f t="shared" si="3"/>
        <v>0.94456184999999948</v>
      </c>
    </row>
    <row r="75" spans="1:13" x14ac:dyDescent="0.3">
      <c r="A75" s="4" t="s">
        <v>227</v>
      </c>
      <c r="B75" s="4">
        <v>2</v>
      </c>
      <c r="C75" s="4">
        <v>230203110</v>
      </c>
      <c r="D75" s="4">
        <v>230313215</v>
      </c>
      <c r="E75" s="4">
        <v>3.2084460000000002E-2</v>
      </c>
      <c r="F75" s="4" t="s">
        <v>228</v>
      </c>
      <c r="G75" s="4" t="s">
        <v>229</v>
      </c>
      <c r="H75" s="5">
        <v>3.7514852958333322</v>
      </c>
      <c r="I75" s="5">
        <v>2.4590649500000001</v>
      </c>
      <c r="J75" s="5">
        <v>5.1529387500000006</v>
      </c>
      <c r="K75" s="5">
        <v>2.3032651333333334</v>
      </c>
      <c r="L75" s="6">
        <f t="shared" si="2"/>
        <v>1.2924203458333321</v>
      </c>
      <c r="M75" s="6">
        <f t="shared" si="3"/>
        <v>2.8496736166666672</v>
      </c>
    </row>
    <row r="76" spans="1:13" x14ac:dyDescent="0.3">
      <c r="A76" s="4" t="s">
        <v>230</v>
      </c>
      <c r="B76" s="4">
        <v>3</v>
      </c>
      <c r="C76" s="4">
        <v>1092576</v>
      </c>
      <c r="D76" s="4">
        <v>1404217</v>
      </c>
      <c r="E76" s="4">
        <v>4.5572915000000004E-3</v>
      </c>
      <c r="F76" s="4" t="s">
        <v>231</v>
      </c>
      <c r="G76" s="4" t="s">
        <v>232</v>
      </c>
      <c r="H76" s="5">
        <v>-8.7098520208333377E-2</v>
      </c>
      <c r="I76" s="5">
        <v>0.82417794</v>
      </c>
      <c r="J76" s="5">
        <v>-1.2037197133333333</v>
      </c>
      <c r="K76" s="5">
        <v>-2.0537757333333335</v>
      </c>
      <c r="L76" s="6">
        <f t="shared" si="2"/>
        <v>-0.91127646020833342</v>
      </c>
      <c r="M76" s="6">
        <f t="shared" si="3"/>
        <v>0.85005602000000025</v>
      </c>
    </row>
    <row r="77" spans="1:13" x14ac:dyDescent="0.3">
      <c r="A77" s="4" t="s">
        <v>233</v>
      </c>
      <c r="B77" s="4">
        <v>3</v>
      </c>
      <c r="C77" s="4">
        <v>4493348</v>
      </c>
      <c r="D77" s="4">
        <v>4847840</v>
      </c>
      <c r="E77" s="4">
        <v>3.5109689999999999E-2</v>
      </c>
      <c r="F77" s="4" t="s">
        <v>234</v>
      </c>
      <c r="G77" s="4" t="s">
        <v>235</v>
      </c>
      <c r="H77" s="5">
        <v>5.9497146208333334</v>
      </c>
      <c r="I77" s="5">
        <v>5.2322057500000003</v>
      </c>
      <c r="J77" s="5">
        <v>6.2304945833333329</v>
      </c>
      <c r="K77" s="5">
        <v>5.3237582333333338</v>
      </c>
      <c r="L77" s="6">
        <f t="shared" si="2"/>
        <v>0.71750887083333303</v>
      </c>
      <c r="M77" s="6">
        <f t="shared" si="3"/>
        <v>0.90673634999999919</v>
      </c>
    </row>
    <row r="78" spans="1:13" x14ac:dyDescent="0.3">
      <c r="A78" s="4" t="s">
        <v>236</v>
      </c>
      <c r="B78" s="4">
        <v>3</v>
      </c>
      <c r="C78" s="4">
        <v>15601341</v>
      </c>
      <c r="D78" s="4">
        <v>15645822</v>
      </c>
      <c r="E78" s="4">
        <v>2.2508133E-2</v>
      </c>
      <c r="F78" s="4" t="s">
        <v>237</v>
      </c>
      <c r="G78" s="4" t="s">
        <v>238</v>
      </c>
      <c r="H78" s="5">
        <v>3.7133661874999997</v>
      </c>
      <c r="I78" s="5">
        <v>2.9203214499999999</v>
      </c>
      <c r="J78" s="5">
        <v>3.9936657166666669</v>
      </c>
      <c r="K78" s="5">
        <v>3.5268339333333336</v>
      </c>
      <c r="L78" s="6">
        <f t="shared" si="2"/>
        <v>0.79304473749999982</v>
      </c>
      <c r="M78" s="6">
        <f t="shared" si="3"/>
        <v>0.46683178333333331</v>
      </c>
    </row>
    <row r="79" spans="1:13" x14ac:dyDescent="0.3">
      <c r="A79" s="4" t="s">
        <v>239</v>
      </c>
      <c r="B79" s="4">
        <v>3</v>
      </c>
      <c r="C79" s="4">
        <v>20040023</v>
      </c>
      <c r="D79" s="4">
        <v>20154404</v>
      </c>
      <c r="E79" s="4">
        <v>9.5714289999999994E-3</v>
      </c>
      <c r="F79" s="4" t="s">
        <v>240</v>
      </c>
      <c r="G79" s="4" t="s">
        <v>241</v>
      </c>
      <c r="H79" s="5">
        <v>5.4385069749999992</v>
      </c>
      <c r="I79" s="5">
        <v>4.6726077749999995</v>
      </c>
      <c r="J79" s="5">
        <v>5.4417709000000007</v>
      </c>
      <c r="K79" s="5">
        <v>5.1130938333333331</v>
      </c>
      <c r="L79" s="6">
        <f t="shared" si="2"/>
        <v>0.76589919999999978</v>
      </c>
      <c r="M79" s="6">
        <f t="shared" si="3"/>
        <v>0.32867706666666763</v>
      </c>
    </row>
    <row r="80" spans="1:13" x14ac:dyDescent="0.3">
      <c r="A80" s="4" t="s">
        <v>242</v>
      </c>
      <c r="B80" s="4">
        <v>3</v>
      </c>
      <c r="C80" s="4">
        <v>27715949</v>
      </c>
      <c r="D80" s="4">
        <v>27722711</v>
      </c>
      <c r="E80" s="4">
        <v>5.6987430000000005E-4</v>
      </c>
      <c r="F80" s="4" t="s">
        <v>243</v>
      </c>
      <c r="G80" s="4" t="s">
        <v>244</v>
      </c>
      <c r="H80" s="5">
        <v>2.5845729937499997</v>
      </c>
      <c r="I80" s="5">
        <v>1.10546409625</v>
      </c>
      <c r="J80" s="5">
        <v>3.7814474333333332</v>
      </c>
      <c r="K80" s="5">
        <v>1.2476297533333334</v>
      </c>
      <c r="L80" s="6">
        <f t="shared" si="2"/>
        <v>1.4791088974999997</v>
      </c>
      <c r="M80" s="6">
        <f t="shared" si="3"/>
        <v>2.5338176799999999</v>
      </c>
    </row>
    <row r="81" spans="1:13" x14ac:dyDescent="0.3">
      <c r="A81" s="4" t="s">
        <v>245</v>
      </c>
      <c r="B81" s="4">
        <v>3</v>
      </c>
      <c r="C81" s="4">
        <v>46353734</v>
      </c>
      <c r="D81" s="4">
        <v>46360928</v>
      </c>
      <c r="E81" s="4">
        <v>1.77772E-2</v>
      </c>
      <c r="F81" s="4" t="s">
        <v>246</v>
      </c>
      <c r="G81" s="4" t="s">
        <v>247</v>
      </c>
      <c r="H81" s="5">
        <v>1.9625610266666669</v>
      </c>
      <c r="I81" s="5">
        <v>-0.16232347087500004</v>
      </c>
      <c r="J81" s="5">
        <v>2.7012200666666666</v>
      </c>
      <c r="K81" s="5">
        <v>1.2945874933333332</v>
      </c>
      <c r="L81" s="6">
        <f t="shared" si="2"/>
        <v>2.1248844975416668</v>
      </c>
      <c r="M81" s="6">
        <f t="shared" si="3"/>
        <v>1.4066325733333334</v>
      </c>
    </row>
    <row r="82" spans="1:13" x14ac:dyDescent="0.3">
      <c r="A82" s="4" t="s">
        <v>248</v>
      </c>
      <c r="B82" s="4">
        <v>3</v>
      </c>
      <c r="C82" s="4">
        <v>46370854</v>
      </c>
      <c r="D82" s="4">
        <v>46376206</v>
      </c>
      <c r="E82" s="4">
        <v>4.513669E-2</v>
      </c>
      <c r="F82" s="4" t="s">
        <v>249</v>
      </c>
      <c r="G82" s="4" t="s">
        <v>250</v>
      </c>
      <c r="H82" s="5">
        <v>2.0857534141666672</v>
      </c>
      <c r="I82" s="5">
        <v>0.49027599625000012</v>
      </c>
      <c r="J82" s="5">
        <v>3.3256572500000003</v>
      </c>
      <c r="K82" s="5">
        <v>1.2870649666666667</v>
      </c>
      <c r="L82" s="6">
        <f t="shared" si="2"/>
        <v>1.5954774179166671</v>
      </c>
      <c r="M82" s="6">
        <f t="shared" si="3"/>
        <v>2.0385922833333336</v>
      </c>
    </row>
    <row r="83" spans="1:13" x14ac:dyDescent="0.3">
      <c r="A83" s="4" t="s">
        <v>251</v>
      </c>
      <c r="B83" s="4">
        <v>3</v>
      </c>
      <c r="C83" s="4">
        <v>57089982</v>
      </c>
      <c r="D83" s="4">
        <v>57170306</v>
      </c>
      <c r="E83" s="4">
        <v>4.5572915000000004E-3</v>
      </c>
      <c r="F83" s="4" t="s">
        <v>252</v>
      </c>
      <c r="G83" s="4" t="s">
        <v>253</v>
      </c>
      <c r="H83" s="5">
        <v>2.2017760249999996</v>
      </c>
      <c r="I83" s="5">
        <v>2.1837091375000002</v>
      </c>
      <c r="J83" s="5">
        <v>1.6457585500000003</v>
      </c>
      <c r="K83" s="5">
        <v>2.0263407999999998</v>
      </c>
      <c r="L83" s="6">
        <f t="shared" si="2"/>
        <v>1.8066887499999407E-2</v>
      </c>
      <c r="M83" s="6">
        <f t="shared" si="3"/>
        <v>-0.38058224999999957</v>
      </c>
    </row>
    <row r="84" spans="1:13" x14ac:dyDescent="0.3">
      <c r="A84" s="4" t="s">
        <v>254</v>
      </c>
      <c r="B84" s="4">
        <v>3</v>
      </c>
      <c r="C84" s="4">
        <v>108822698</v>
      </c>
      <c r="D84" s="4">
        <v>108855005</v>
      </c>
      <c r="E84" s="4">
        <v>1.9326304999999998E-2</v>
      </c>
      <c r="F84" s="4" t="s">
        <v>255</v>
      </c>
      <c r="G84" s="4" t="s">
        <v>256</v>
      </c>
      <c r="H84" s="5">
        <v>1.1067137091666666</v>
      </c>
      <c r="I84" s="5">
        <v>-0.87366137499999996</v>
      </c>
      <c r="J84" s="5">
        <v>2.7137196166666668</v>
      </c>
      <c r="K84" s="5">
        <v>-0.25856813000000001</v>
      </c>
      <c r="L84" s="6">
        <f t="shared" si="2"/>
        <v>1.9803750841666665</v>
      </c>
      <c r="M84" s="6">
        <f t="shared" si="3"/>
        <v>2.9722877466666668</v>
      </c>
    </row>
    <row r="85" spans="1:13" x14ac:dyDescent="0.3">
      <c r="A85" s="4" t="s">
        <v>257</v>
      </c>
      <c r="B85" s="4">
        <v>3</v>
      </c>
      <c r="C85" s="4">
        <v>111292719</v>
      </c>
      <c r="D85" s="4">
        <v>111665750</v>
      </c>
      <c r="E85" s="4">
        <v>8.2142210000000007E-3</v>
      </c>
      <c r="F85" s="4" t="s">
        <v>258</v>
      </c>
      <c r="G85" s="4" t="s">
        <v>259</v>
      </c>
      <c r="H85" s="5">
        <v>3.7034449375000005</v>
      </c>
      <c r="I85" s="5">
        <v>2.1571891949999999</v>
      </c>
      <c r="J85" s="5">
        <v>5.0166972333333337</v>
      </c>
      <c r="K85" s="5">
        <v>2.1870811333333333</v>
      </c>
      <c r="L85" s="6">
        <f t="shared" si="2"/>
        <v>1.5462557425000005</v>
      </c>
      <c r="M85" s="6">
        <f t="shared" si="3"/>
        <v>2.8296161000000004</v>
      </c>
    </row>
    <row r="86" spans="1:13" x14ac:dyDescent="0.3">
      <c r="A86" s="4" t="s">
        <v>260</v>
      </c>
      <c r="B86" s="4">
        <v>3</v>
      </c>
      <c r="C86" s="4">
        <v>111592900</v>
      </c>
      <c r="D86" s="4">
        <v>111595443</v>
      </c>
      <c r="E86" s="4">
        <v>3.9128776999999997E-2</v>
      </c>
      <c r="F86" s="4" t="s">
        <v>261</v>
      </c>
      <c r="G86" s="4" t="s">
        <v>262</v>
      </c>
      <c r="H86" s="5">
        <v>-1.1497289808333335</v>
      </c>
      <c r="I86" s="5">
        <v>-2.8314248324999998</v>
      </c>
      <c r="J86" s="5">
        <v>0.65158976000000002</v>
      </c>
      <c r="K86" s="5">
        <v>-3.0227392333333341</v>
      </c>
      <c r="L86" s="6">
        <f t="shared" si="2"/>
        <v>1.6816958516666662</v>
      </c>
      <c r="M86" s="6">
        <f t="shared" si="3"/>
        <v>3.6743289933333338</v>
      </c>
    </row>
    <row r="87" spans="1:13" x14ac:dyDescent="0.3">
      <c r="A87" s="4" t="s">
        <v>263</v>
      </c>
      <c r="B87" s="4">
        <v>3</v>
      </c>
      <c r="C87" s="4">
        <v>112463968</v>
      </c>
      <c r="D87" s="4">
        <v>112499561</v>
      </c>
      <c r="E87" s="4">
        <v>1.6538081999999999E-2</v>
      </c>
      <c r="F87" s="4" t="s">
        <v>264</v>
      </c>
      <c r="G87" s="4" t="s">
        <v>265</v>
      </c>
      <c r="H87" s="5">
        <v>0.58042897166666674</v>
      </c>
      <c r="I87" s="5">
        <v>-1.3695661912499999</v>
      </c>
      <c r="J87" s="5">
        <v>1.5044470849999998</v>
      </c>
      <c r="K87" s="5">
        <v>-0.7923519733333334</v>
      </c>
      <c r="L87" s="6">
        <f t="shared" si="2"/>
        <v>1.9499951629166667</v>
      </c>
      <c r="M87" s="6">
        <f t="shared" si="3"/>
        <v>2.2967990583333333</v>
      </c>
    </row>
    <row r="88" spans="1:13" x14ac:dyDescent="0.3">
      <c r="A88" s="4" t="s">
        <v>266</v>
      </c>
      <c r="B88" s="4">
        <v>3</v>
      </c>
      <c r="C88" s="4">
        <v>113532296</v>
      </c>
      <c r="D88" s="4">
        <v>113629578</v>
      </c>
      <c r="E88" s="4">
        <v>2.2911049999999999E-2</v>
      </c>
      <c r="F88" s="4" t="s">
        <v>267</v>
      </c>
      <c r="G88" s="4" t="s">
        <v>268</v>
      </c>
      <c r="H88" s="5">
        <v>2.0330655989583333</v>
      </c>
      <c r="I88" s="5">
        <v>0.85258358800000011</v>
      </c>
      <c r="J88" s="5">
        <v>3.1121479500000002</v>
      </c>
      <c r="K88" s="5">
        <v>0.4369080766666667</v>
      </c>
      <c r="L88" s="6">
        <f t="shared" si="2"/>
        <v>1.1804820109583332</v>
      </c>
      <c r="M88" s="6">
        <f t="shared" si="3"/>
        <v>2.6752398733333336</v>
      </c>
    </row>
    <row r="89" spans="1:13" x14ac:dyDescent="0.3">
      <c r="A89" s="4" t="s">
        <v>269</v>
      </c>
      <c r="B89" s="4">
        <v>3</v>
      </c>
      <c r="C89" s="4">
        <v>114276913</v>
      </c>
      <c r="D89" s="4">
        <v>114310288</v>
      </c>
      <c r="E89" s="4">
        <v>3.3804340000000002E-2</v>
      </c>
      <c r="F89" s="4" t="s">
        <v>270</v>
      </c>
      <c r="G89" s="4" t="s">
        <v>271</v>
      </c>
      <c r="H89" s="5">
        <v>0.91915794458333322</v>
      </c>
      <c r="I89" s="5">
        <v>-0.96262031124999992</v>
      </c>
      <c r="J89" s="5">
        <v>2.495379433333333</v>
      </c>
      <c r="K89" s="5">
        <v>-0.49264744999999993</v>
      </c>
      <c r="L89" s="6">
        <f t="shared" si="2"/>
        <v>1.8817782558333331</v>
      </c>
      <c r="M89" s="6">
        <f t="shared" si="3"/>
        <v>2.9880268833333328</v>
      </c>
    </row>
    <row r="90" spans="1:13" x14ac:dyDescent="0.3">
      <c r="A90" s="4" t="s">
        <v>272</v>
      </c>
      <c r="B90" s="4">
        <v>3</v>
      </c>
      <c r="C90" s="4">
        <v>149162410</v>
      </c>
      <c r="D90" s="4">
        <v>149222055</v>
      </c>
      <c r="E90" s="4">
        <v>3.2525875000000003E-2</v>
      </c>
      <c r="F90" s="4" t="s">
        <v>273</v>
      </c>
      <c r="G90" s="4" t="s">
        <v>274</v>
      </c>
      <c r="H90" s="5">
        <v>3.7504216750000006</v>
      </c>
      <c r="I90" s="5">
        <v>2.9047125625000003</v>
      </c>
      <c r="J90" s="5">
        <v>4.0888483500000001</v>
      </c>
      <c r="K90" s="5">
        <v>3.9198933999999994</v>
      </c>
      <c r="L90" s="6">
        <f t="shared" si="2"/>
        <v>0.84570911250000025</v>
      </c>
      <c r="M90" s="6">
        <f t="shared" si="3"/>
        <v>0.16895495000000071</v>
      </c>
    </row>
    <row r="91" spans="1:13" x14ac:dyDescent="0.3">
      <c r="A91" s="4" t="s">
        <v>275</v>
      </c>
      <c r="B91" s="4">
        <v>3</v>
      </c>
      <c r="C91" s="4">
        <v>151326312</v>
      </c>
      <c r="D91" s="4">
        <v>151329548</v>
      </c>
      <c r="E91" s="4">
        <v>1.6538081999999999E-2</v>
      </c>
      <c r="F91" s="4" t="s">
        <v>276</v>
      </c>
      <c r="G91" s="4" t="s">
        <v>277</v>
      </c>
      <c r="H91" s="5">
        <v>1.9225425425000005</v>
      </c>
      <c r="I91" s="5">
        <v>0.26118579500000005</v>
      </c>
      <c r="J91" s="5">
        <v>2.8728852833333334</v>
      </c>
      <c r="K91" s="5">
        <v>1.6224487333333333</v>
      </c>
      <c r="L91" s="6">
        <f t="shared" si="2"/>
        <v>1.6613567475000004</v>
      </c>
      <c r="M91" s="6">
        <f t="shared" si="3"/>
        <v>1.2504365500000001</v>
      </c>
    </row>
    <row r="92" spans="1:13" x14ac:dyDescent="0.3">
      <c r="A92" s="4" t="s">
        <v>278</v>
      </c>
      <c r="B92" s="4">
        <v>3</v>
      </c>
      <c r="C92" s="4">
        <v>183122213</v>
      </c>
      <c r="D92" s="4">
        <v>183163839</v>
      </c>
      <c r="E92" s="4">
        <v>4.3967076000000001E-2</v>
      </c>
      <c r="F92" s="4" t="s">
        <v>279</v>
      </c>
      <c r="G92" s="4" t="s">
        <v>280</v>
      </c>
      <c r="H92" s="5">
        <v>2.2687999029166668</v>
      </c>
      <c r="I92" s="5">
        <v>0.63876807749999998</v>
      </c>
      <c r="J92" s="5">
        <v>3.3708113833333329</v>
      </c>
      <c r="K92" s="5">
        <v>2.2634203999999998</v>
      </c>
      <c r="L92" s="6">
        <f t="shared" si="2"/>
        <v>1.6300318254166668</v>
      </c>
      <c r="M92" s="6">
        <f t="shared" si="3"/>
        <v>1.1073909833333331</v>
      </c>
    </row>
    <row r="93" spans="1:13" x14ac:dyDescent="0.3">
      <c r="A93" s="4" t="s">
        <v>281</v>
      </c>
      <c r="B93" s="4">
        <v>4</v>
      </c>
      <c r="C93" s="4">
        <v>6026199</v>
      </c>
      <c r="D93" s="4">
        <v>6200591</v>
      </c>
      <c r="E93" s="4">
        <v>1.6213930000000001E-2</v>
      </c>
      <c r="F93" s="4" t="s">
        <v>282</v>
      </c>
      <c r="G93" s="4" t="s">
        <v>283</v>
      </c>
      <c r="H93" s="5">
        <v>0.58205987987500007</v>
      </c>
      <c r="I93" s="5">
        <v>-1.6982599249999999</v>
      </c>
      <c r="J93" s="5">
        <v>2.5355190533333336</v>
      </c>
      <c r="K93" s="5">
        <v>-0.8121448</v>
      </c>
      <c r="L93" s="6">
        <f t="shared" si="2"/>
        <v>2.280319804875</v>
      </c>
      <c r="M93" s="6">
        <f t="shared" si="3"/>
        <v>3.3476638533333336</v>
      </c>
    </row>
    <row r="94" spans="1:13" x14ac:dyDescent="0.3">
      <c r="A94" s="4" t="s">
        <v>284</v>
      </c>
      <c r="B94" s="4">
        <v>4</v>
      </c>
      <c r="C94" s="4">
        <v>15778275</v>
      </c>
      <c r="D94" s="4">
        <v>15853230</v>
      </c>
      <c r="E94" s="4">
        <v>1.9326304999999998E-2</v>
      </c>
      <c r="F94" s="4" t="s">
        <v>285</v>
      </c>
      <c r="G94" s="4" t="s">
        <v>286</v>
      </c>
      <c r="H94" s="5">
        <v>2.6149650224999998</v>
      </c>
      <c r="I94" s="5">
        <v>1.0432102187500001</v>
      </c>
      <c r="J94" s="5">
        <v>3.9010668000000002</v>
      </c>
      <c r="K94" s="5">
        <v>0.80912918000000011</v>
      </c>
      <c r="L94" s="6">
        <f t="shared" si="2"/>
        <v>1.5717548037499998</v>
      </c>
      <c r="M94" s="6">
        <f t="shared" si="3"/>
        <v>3.0919376199999999</v>
      </c>
    </row>
    <row r="95" spans="1:13" x14ac:dyDescent="0.3">
      <c r="A95" s="4" t="s">
        <v>287</v>
      </c>
      <c r="B95" s="4">
        <v>4</v>
      </c>
      <c r="C95" s="4">
        <v>36281622</v>
      </c>
      <c r="D95" s="4">
        <v>36345756</v>
      </c>
      <c r="E95" s="4">
        <v>3.3804340000000002E-2</v>
      </c>
      <c r="F95" s="4" t="s">
        <v>288</v>
      </c>
      <c r="G95" s="4" t="s">
        <v>289</v>
      </c>
      <c r="H95" s="5">
        <v>1.8753020645833336</v>
      </c>
      <c r="I95" s="5">
        <v>9.2574783174999953E-2</v>
      </c>
      <c r="J95" s="5">
        <v>3.18895135</v>
      </c>
      <c r="K95" s="5">
        <v>-0.35196784333333331</v>
      </c>
      <c r="L95" s="6">
        <f t="shared" si="2"/>
        <v>1.7827272814083337</v>
      </c>
      <c r="M95" s="6">
        <f t="shared" si="3"/>
        <v>3.540919193333333</v>
      </c>
    </row>
    <row r="96" spans="1:13" x14ac:dyDescent="0.3">
      <c r="A96" s="4" t="s">
        <v>290</v>
      </c>
      <c r="B96" s="4">
        <v>4</v>
      </c>
      <c r="C96" s="4">
        <v>37960435</v>
      </c>
      <c r="D96" s="4">
        <v>37961125</v>
      </c>
      <c r="E96" s="4">
        <v>3.0888539E-2</v>
      </c>
      <c r="F96" s="4" t="s">
        <v>291</v>
      </c>
      <c r="G96" s="4" t="s">
        <v>292</v>
      </c>
      <c r="H96" s="5">
        <v>-0.93438392620833322</v>
      </c>
      <c r="I96" s="5">
        <v>-2.5499824412500001</v>
      </c>
      <c r="J96" s="5">
        <v>0.13409867933333333</v>
      </c>
      <c r="K96" s="5">
        <v>-2.5820963999999997</v>
      </c>
      <c r="L96" s="6">
        <f t="shared" si="2"/>
        <v>1.615598515041667</v>
      </c>
      <c r="M96" s="6">
        <f t="shared" si="3"/>
        <v>2.7161950793333332</v>
      </c>
    </row>
    <row r="97" spans="1:13" x14ac:dyDescent="0.3">
      <c r="A97" s="4" t="s">
        <v>293</v>
      </c>
      <c r="B97" s="4">
        <v>4</v>
      </c>
      <c r="C97" s="4">
        <v>38772239</v>
      </c>
      <c r="D97" s="4">
        <v>38782990</v>
      </c>
      <c r="E97" s="4">
        <v>1.8378756999999999E-2</v>
      </c>
      <c r="F97" s="4" t="s">
        <v>294</v>
      </c>
      <c r="G97" s="4" t="s">
        <v>295</v>
      </c>
      <c r="H97" s="5">
        <v>1.298470404875</v>
      </c>
      <c r="I97" s="5">
        <v>-0.54143590000000008</v>
      </c>
      <c r="J97" s="5">
        <v>1.7652408066666669</v>
      </c>
      <c r="K97" s="5">
        <v>-0.32164331333333335</v>
      </c>
      <c r="L97" s="6">
        <f t="shared" si="2"/>
        <v>1.839906304875</v>
      </c>
      <c r="M97" s="6">
        <f t="shared" si="3"/>
        <v>2.0868841200000001</v>
      </c>
    </row>
    <row r="98" spans="1:13" x14ac:dyDescent="0.3">
      <c r="A98" s="4" t="s">
        <v>296</v>
      </c>
      <c r="B98" s="4">
        <v>4</v>
      </c>
      <c r="C98" s="4">
        <v>42408373</v>
      </c>
      <c r="D98" s="4">
        <v>42657105</v>
      </c>
      <c r="E98" s="4">
        <v>9.5714289999999994E-3</v>
      </c>
      <c r="F98" s="4" t="s">
        <v>297</v>
      </c>
      <c r="G98" s="4" t="s">
        <v>298</v>
      </c>
      <c r="H98" s="5">
        <v>4.6233379708333322</v>
      </c>
      <c r="I98" s="5">
        <v>3.5158835499999999</v>
      </c>
      <c r="J98" s="5">
        <v>5.4208636333333331</v>
      </c>
      <c r="K98" s="5">
        <v>3.7276510666666667</v>
      </c>
      <c r="L98" s="6">
        <f t="shared" si="2"/>
        <v>1.1074544208333323</v>
      </c>
      <c r="M98" s="6">
        <f t="shared" si="3"/>
        <v>1.6932125666666664</v>
      </c>
    </row>
    <row r="99" spans="1:13" x14ac:dyDescent="0.3">
      <c r="A99" s="4" t="s">
        <v>299</v>
      </c>
      <c r="B99" s="4">
        <v>4</v>
      </c>
      <c r="C99" s="4">
        <v>48066393</v>
      </c>
      <c r="D99" s="4">
        <v>48134256</v>
      </c>
      <c r="E99" s="4">
        <v>3.3804340000000002E-2</v>
      </c>
      <c r="F99" s="4" t="s">
        <v>300</v>
      </c>
      <c r="G99" s="4" t="s">
        <v>301</v>
      </c>
      <c r="H99" s="5">
        <v>2.4998187815000006</v>
      </c>
      <c r="I99" s="5">
        <v>1.57330182625</v>
      </c>
      <c r="J99" s="5">
        <v>3.3703651666666663</v>
      </c>
      <c r="K99" s="5">
        <v>1.0869904266666666</v>
      </c>
      <c r="L99" s="6">
        <f t="shared" si="2"/>
        <v>0.92651695525000055</v>
      </c>
      <c r="M99" s="6">
        <f t="shared" si="3"/>
        <v>2.2833747399999997</v>
      </c>
    </row>
    <row r="100" spans="1:13" x14ac:dyDescent="0.3">
      <c r="A100" s="4" t="s">
        <v>302</v>
      </c>
      <c r="B100" s="4">
        <v>4</v>
      </c>
      <c r="C100" s="4">
        <v>69810780</v>
      </c>
      <c r="D100" s="4">
        <v>69860152</v>
      </c>
      <c r="E100" s="4">
        <v>9.5714289999999994E-3</v>
      </c>
      <c r="F100" s="4" t="s">
        <v>303</v>
      </c>
      <c r="G100" s="4" t="s">
        <v>304</v>
      </c>
      <c r="H100" s="5">
        <v>-3.1323230147750003</v>
      </c>
      <c r="I100" s="5">
        <v>-1.36531337875</v>
      </c>
      <c r="J100" s="5">
        <v>-4.2263928166666664</v>
      </c>
      <c r="K100" s="5">
        <v>-1.9796448900000001</v>
      </c>
      <c r="L100" s="6">
        <f t="shared" si="2"/>
        <v>-1.7670096360250003</v>
      </c>
      <c r="M100" s="6">
        <f t="shared" si="3"/>
        <v>-2.2467479266666661</v>
      </c>
    </row>
    <row r="101" spans="1:13" x14ac:dyDescent="0.3">
      <c r="A101" s="4" t="s">
        <v>305</v>
      </c>
      <c r="B101" s="4">
        <v>4</v>
      </c>
      <c r="C101" s="4">
        <v>70226071</v>
      </c>
      <c r="D101" s="4">
        <v>70235252</v>
      </c>
      <c r="E101" s="4">
        <v>3.2495459999999997E-2</v>
      </c>
      <c r="F101" s="4" t="s">
        <v>306</v>
      </c>
      <c r="G101" s="4" t="s">
        <v>307</v>
      </c>
      <c r="H101" s="5">
        <v>-0.46215106691666658</v>
      </c>
      <c r="I101" s="5">
        <v>-1.6694332331249999</v>
      </c>
      <c r="J101" s="5">
        <v>0.35867874999999999</v>
      </c>
      <c r="K101" s="5">
        <v>-0.68530120666666672</v>
      </c>
      <c r="L101" s="6">
        <f t="shared" si="2"/>
        <v>1.2072821662083333</v>
      </c>
      <c r="M101" s="6">
        <f t="shared" si="3"/>
        <v>1.0439799566666668</v>
      </c>
    </row>
    <row r="102" spans="1:13" x14ac:dyDescent="0.3">
      <c r="A102" s="4" t="s">
        <v>308</v>
      </c>
      <c r="B102" s="4">
        <v>4</v>
      </c>
      <c r="C102" s="4">
        <v>75913657</v>
      </c>
      <c r="D102" s="4">
        <v>75941051</v>
      </c>
      <c r="E102" s="4">
        <v>2.2911049999999999E-2</v>
      </c>
      <c r="F102" s="4" t="s">
        <v>309</v>
      </c>
      <c r="G102" s="4" t="s">
        <v>310</v>
      </c>
      <c r="H102" s="5">
        <v>2.7683487749999998</v>
      </c>
      <c r="I102" s="5">
        <v>1.8797087874999998</v>
      </c>
      <c r="J102" s="5">
        <v>3.4784820166666663</v>
      </c>
      <c r="K102" s="5">
        <v>2.8674769999999996</v>
      </c>
      <c r="L102" s="6">
        <f t="shared" si="2"/>
        <v>0.88863998749999995</v>
      </c>
      <c r="M102" s="6">
        <f t="shared" si="3"/>
        <v>0.61100501666666673</v>
      </c>
    </row>
    <row r="103" spans="1:13" x14ac:dyDescent="0.3">
      <c r="A103" s="4" t="s">
        <v>311</v>
      </c>
      <c r="B103" s="4">
        <v>4</v>
      </c>
      <c r="C103" s="4">
        <v>76001275</v>
      </c>
      <c r="D103" s="4">
        <v>76007488</v>
      </c>
      <c r="E103" s="4">
        <v>6.3890659999999997E-3</v>
      </c>
      <c r="F103" s="4" t="s">
        <v>312</v>
      </c>
      <c r="G103" s="4" t="s">
        <v>313</v>
      </c>
      <c r="H103" s="5">
        <v>3.2696204937500002</v>
      </c>
      <c r="I103" s="5">
        <v>1.3703400087499997</v>
      </c>
      <c r="J103" s="5">
        <v>4.441356766666666</v>
      </c>
      <c r="K103" s="5">
        <v>2.9536223333333331</v>
      </c>
      <c r="L103" s="6">
        <f t="shared" si="2"/>
        <v>1.8992804850000005</v>
      </c>
      <c r="M103" s="6">
        <f t="shared" si="3"/>
        <v>1.4877344333333329</v>
      </c>
    </row>
    <row r="104" spans="1:13" x14ac:dyDescent="0.3">
      <c r="A104" s="4" t="s">
        <v>314</v>
      </c>
      <c r="B104" s="4">
        <v>4</v>
      </c>
      <c r="C104" s="4">
        <v>77511753</v>
      </c>
      <c r="D104" s="4">
        <v>77611834</v>
      </c>
      <c r="E104" s="4">
        <v>2.6660138999999999E-2</v>
      </c>
      <c r="F104" s="4" t="s">
        <v>315</v>
      </c>
      <c r="G104" s="4" t="s">
        <v>316</v>
      </c>
      <c r="H104" s="5">
        <v>1.5010901924999998</v>
      </c>
      <c r="I104" s="5">
        <v>-0.30544684625000007</v>
      </c>
      <c r="J104" s="5">
        <v>3.1243658999999995</v>
      </c>
      <c r="K104" s="5">
        <v>0.16084297666666666</v>
      </c>
      <c r="L104" s="6">
        <f t="shared" si="2"/>
        <v>1.8065370387499997</v>
      </c>
      <c r="M104" s="6">
        <f t="shared" si="3"/>
        <v>2.9635229233333327</v>
      </c>
    </row>
    <row r="105" spans="1:13" x14ac:dyDescent="0.3">
      <c r="A105" s="4" t="s">
        <v>317</v>
      </c>
      <c r="B105" s="4">
        <v>4</v>
      </c>
      <c r="C105" s="4">
        <v>83090048</v>
      </c>
      <c r="D105" s="4">
        <v>83137075</v>
      </c>
      <c r="E105" s="4">
        <v>1.9326304999999998E-2</v>
      </c>
      <c r="F105" s="4" t="s">
        <v>318</v>
      </c>
      <c r="G105" s="4" t="s">
        <v>319</v>
      </c>
      <c r="H105" s="5">
        <v>1.4747725672916665</v>
      </c>
      <c r="I105" s="5">
        <v>0.26785152374999999</v>
      </c>
      <c r="J105" s="5">
        <v>1.9713102000000005</v>
      </c>
      <c r="K105" s="5">
        <v>0.44830844333333331</v>
      </c>
      <c r="L105" s="6">
        <f t="shared" si="2"/>
        <v>1.2069210435416666</v>
      </c>
      <c r="M105" s="6">
        <f t="shared" si="3"/>
        <v>1.5230017566666672</v>
      </c>
    </row>
    <row r="106" spans="1:13" x14ac:dyDescent="0.3">
      <c r="A106" s="4" t="s">
        <v>320</v>
      </c>
      <c r="B106" s="4">
        <v>4</v>
      </c>
      <c r="C106" s="4">
        <v>99816833</v>
      </c>
      <c r="D106" s="4">
        <v>99870154</v>
      </c>
      <c r="E106" s="4">
        <v>1.7473638E-2</v>
      </c>
      <c r="F106" s="4" t="s">
        <v>321</v>
      </c>
      <c r="G106" s="4" t="s">
        <v>322</v>
      </c>
      <c r="H106" s="5">
        <v>2.2419180583333334</v>
      </c>
      <c r="I106" s="5">
        <v>0.95583654249999994</v>
      </c>
      <c r="J106" s="5">
        <v>3.3363695833333331</v>
      </c>
      <c r="K106" s="5">
        <v>1.4849207333333334</v>
      </c>
      <c r="L106" s="6">
        <f t="shared" si="2"/>
        <v>1.2860815158333334</v>
      </c>
      <c r="M106" s="6">
        <f t="shared" si="3"/>
        <v>1.8514488499999997</v>
      </c>
    </row>
    <row r="107" spans="1:13" x14ac:dyDescent="0.3">
      <c r="A107" s="4" t="s">
        <v>323</v>
      </c>
      <c r="B107" s="4">
        <v>4</v>
      </c>
      <c r="C107" s="4">
        <v>101411286</v>
      </c>
      <c r="D107" s="4">
        <v>102074812</v>
      </c>
      <c r="E107" s="4">
        <v>1.74237E-2</v>
      </c>
      <c r="F107" s="4" t="s">
        <v>324</v>
      </c>
      <c r="G107" s="4" t="s">
        <v>325</v>
      </c>
      <c r="H107" s="5">
        <v>2.3886359600000007</v>
      </c>
      <c r="I107" s="5">
        <v>1.34321118375</v>
      </c>
      <c r="J107" s="5">
        <v>3.0105559333333329</v>
      </c>
      <c r="K107" s="5">
        <v>-1.5283286666666673E-2</v>
      </c>
      <c r="L107" s="6">
        <f t="shared" si="2"/>
        <v>1.0454247762500006</v>
      </c>
      <c r="M107" s="6">
        <f t="shared" si="3"/>
        <v>3.0258392199999995</v>
      </c>
    </row>
    <row r="108" spans="1:13" x14ac:dyDescent="0.3">
      <c r="A108" s="4" t="s">
        <v>326</v>
      </c>
      <c r="B108" s="4">
        <v>4</v>
      </c>
      <c r="C108" s="4">
        <v>121131408</v>
      </c>
      <c r="D108" s="4">
        <v>121227466</v>
      </c>
      <c r="E108" s="4">
        <v>4.6311739999999997E-2</v>
      </c>
      <c r="F108" s="4" t="s">
        <v>327</v>
      </c>
      <c r="G108" s="4" t="s">
        <v>328</v>
      </c>
      <c r="H108" s="5">
        <v>0.48688168483333344</v>
      </c>
      <c r="I108" s="5">
        <v>-1.5522668125000001</v>
      </c>
      <c r="J108" s="5">
        <v>2.2588586866666667</v>
      </c>
      <c r="K108" s="5">
        <v>-1.2623105166666666</v>
      </c>
      <c r="L108" s="6">
        <f t="shared" si="2"/>
        <v>2.0391484973333336</v>
      </c>
      <c r="M108" s="6">
        <f t="shared" si="3"/>
        <v>3.5211692033333333</v>
      </c>
    </row>
    <row r="109" spans="1:13" x14ac:dyDescent="0.3">
      <c r="A109" s="4" t="s">
        <v>329</v>
      </c>
      <c r="B109" s="4">
        <v>4</v>
      </c>
      <c r="C109" s="4">
        <v>154232037</v>
      </c>
      <c r="D109" s="4">
        <v>154491716</v>
      </c>
      <c r="E109" s="4">
        <v>5.5868840000000003E-3</v>
      </c>
      <c r="F109" s="4" t="s">
        <v>330</v>
      </c>
      <c r="G109" s="4" t="s">
        <v>331</v>
      </c>
      <c r="H109" s="5">
        <v>0.71509912224999983</v>
      </c>
      <c r="I109" s="5">
        <v>2.3583013250000002</v>
      </c>
      <c r="J109" s="5">
        <v>-0.26644905499999999</v>
      </c>
      <c r="K109" s="5">
        <v>0.75830727999999992</v>
      </c>
      <c r="L109" s="6">
        <f t="shared" si="2"/>
        <v>-1.6432022027500004</v>
      </c>
      <c r="M109" s="6">
        <f t="shared" si="3"/>
        <v>-1.024756335</v>
      </c>
    </row>
    <row r="110" spans="1:13" x14ac:dyDescent="0.3">
      <c r="A110" s="4" t="s">
        <v>332</v>
      </c>
      <c r="B110" s="4">
        <v>4</v>
      </c>
      <c r="C110" s="4">
        <v>158201604</v>
      </c>
      <c r="D110" s="4">
        <v>158255411</v>
      </c>
      <c r="E110" s="4">
        <v>2.9076320999999999E-2</v>
      </c>
      <c r="F110" s="4" t="s">
        <v>333</v>
      </c>
      <c r="G110" s="4" t="s">
        <v>334</v>
      </c>
      <c r="H110" s="5">
        <v>2.4176074691666667</v>
      </c>
      <c r="I110" s="5">
        <v>1.52735721625</v>
      </c>
      <c r="J110" s="5">
        <v>2.7248350066666664</v>
      </c>
      <c r="K110" s="5">
        <v>2.1487192166666667</v>
      </c>
      <c r="L110" s="6">
        <f t="shared" si="2"/>
        <v>0.89025025291666671</v>
      </c>
      <c r="M110" s="6">
        <f t="shared" si="3"/>
        <v>0.57611578999999979</v>
      </c>
    </row>
    <row r="111" spans="1:13" x14ac:dyDescent="0.3">
      <c r="A111" s="4" t="s">
        <v>335</v>
      </c>
      <c r="B111" s="4">
        <v>5</v>
      </c>
      <c r="C111" s="4">
        <v>34019448</v>
      </c>
      <c r="D111" s="4">
        <v>34043832</v>
      </c>
      <c r="E111" s="4">
        <v>4.4897959999999999E-3</v>
      </c>
      <c r="F111" s="4" t="s">
        <v>336</v>
      </c>
      <c r="G111" s="4" t="s">
        <v>337</v>
      </c>
      <c r="H111" s="5">
        <v>2.1711109849999999</v>
      </c>
      <c r="I111" s="5">
        <v>2.6718985874999999</v>
      </c>
      <c r="J111" s="5">
        <v>1.81085345</v>
      </c>
      <c r="K111" s="5">
        <v>2.132825</v>
      </c>
      <c r="L111" s="6">
        <f t="shared" si="2"/>
        <v>-0.50078760249999998</v>
      </c>
      <c r="M111" s="6">
        <f t="shared" si="3"/>
        <v>-0.32197155</v>
      </c>
    </row>
    <row r="112" spans="1:13" x14ac:dyDescent="0.3">
      <c r="A112" s="4" t="s">
        <v>338</v>
      </c>
      <c r="B112" s="4">
        <v>5</v>
      </c>
      <c r="C112" s="4">
        <v>35852695</v>
      </c>
      <c r="D112" s="4">
        <v>35879603</v>
      </c>
      <c r="E112" s="4">
        <v>3.0888539E-2</v>
      </c>
      <c r="F112" s="4" t="s">
        <v>339</v>
      </c>
      <c r="G112" s="4" t="s">
        <v>340</v>
      </c>
      <c r="H112" s="5">
        <v>4.0473495083333324</v>
      </c>
      <c r="I112" s="5">
        <v>3.3970628249999999</v>
      </c>
      <c r="J112" s="5">
        <v>4.8218139500000001</v>
      </c>
      <c r="K112" s="5">
        <v>2.8728742999999999</v>
      </c>
      <c r="L112" s="6">
        <f t="shared" si="2"/>
        <v>0.6502866833333325</v>
      </c>
      <c r="M112" s="6">
        <f t="shared" si="3"/>
        <v>1.9489396500000002</v>
      </c>
    </row>
    <row r="113" spans="1:13" x14ac:dyDescent="0.3">
      <c r="A113" s="4" t="s">
        <v>341</v>
      </c>
      <c r="B113" s="4">
        <v>5</v>
      </c>
      <c r="C113" s="4">
        <v>55024253</v>
      </c>
      <c r="D113" s="4">
        <v>55034570</v>
      </c>
      <c r="E113" s="4">
        <v>1.4751267E-2</v>
      </c>
      <c r="F113" s="4" t="s">
        <v>342</v>
      </c>
      <c r="G113" s="4" t="s">
        <v>343</v>
      </c>
      <c r="H113" s="5">
        <v>1.7578261141666662</v>
      </c>
      <c r="I113" s="5">
        <v>-0.118398575575</v>
      </c>
      <c r="J113" s="5">
        <v>2.9528316833333332</v>
      </c>
      <c r="K113" s="5">
        <v>0.21700947333333334</v>
      </c>
      <c r="L113" s="6">
        <f t="shared" si="2"/>
        <v>1.8762246897416661</v>
      </c>
      <c r="M113" s="6">
        <f t="shared" si="3"/>
        <v>2.7358222099999998</v>
      </c>
    </row>
    <row r="114" spans="1:13" x14ac:dyDescent="0.3">
      <c r="A114" s="4" t="s">
        <v>344</v>
      </c>
      <c r="B114" s="4">
        <v>5</v>
      </c>
      <c r="C114" s="4">
        <v>58491435</v>
      </c>
      <c r="D114" s="4">
        <v>58497090</v>
      </c>
      <c r="E114" s="4">
        <v>3.3804340000000002E-2</v>
      </c>
      <c r="F114" s="4" t="s">
        <v>345</v>
      </c>
      <c r="G114" s="4" t="s">
        <v>346</v>
      </c>
      <c r="H114" s="5">
        <v>0.19891235354166673</v>
      </c>
      <c r="I114" s="5">
        <v>-2.0491495674999998</v>
      </c>
      <c r="J114" s="5">
        <v>0.89519743000000007</v>
      </c>
      <c r="K114" s="5">
        <v>-0.64631157666666672</v>
      </c>
      <c r="L114" s="6">
        <f t="shared" si="2"/>
        <v>2.2480619210416664</v>
      </c>
      <c r="M114" s="6">
        <f t="shared" si="3"/>
        <v>1.5415090066666668</v>
      </c>
    </row>
    <row r="115" spans="1:13" x14ac:dyDescent="0.3">
      <c r="A115" s="4" t="s">
        <v>347</v>
      </c>
      <c r="B115" s="4">
        <v>5</v>
      </c>
      <c r="C115" s="4">
        <v>64165844</v>
      </c>
      <c r="D115" s="4">
        <v>64372869</v>
      </c>
      <c r="E115" s="4">
        <v>4.8309459999999999E-2</v>
      </c>
      <c r="F115" s="4" t="s">
        <v>348</v>
      </c>
      <c r="G115" s="4" t="s">
        <v>349</v>
      </c>
      <c r="H115" s="5">
        <v>2.35017444</v>
      </c>
      <c r="I115" s="5">
        <v>1.5242156787500001</v>
      </c>
      <c r="J115" s="5">
        <v>2.5326985833333335</v>
      </c>
      <c r="K115" s="5">
        <v>2.9360971666666664</v>
      </c>
      <c r="L115" s="6">
        <f t="shared" si="2"/>
        <v>0.8259587612499999</v>
      </c>
      <c r="M115" s="6">
        <f t="shared" si="3"/>
        <v>-0.40339858333333289</v>
      </c>
    </row>
    <row r="116" spans="1:13" x14ac:dyDescent="0.3">
      <c r="A116" s="4" t="s">
        <v>350</v>
      </c>
      <c r="B116" s="4">
        <v>5</v>
      </c>
      <c r="C116" s="4">
        <v>109689366</v>
      </c>
      <c r="D116" s="4">
        <v>109869625</v>
      </c>
      <c r="E116" s="4">
        <v>3.1544349999999999E-2</v>
      </c>
      <c r="F116" s="4" t="s">
        <v>351</v>
      </c>
      <c r="G116" s="4" t="s">
        <v>352</v>
      </c>
      <c r="H116" s="5">
        <v>5.3990130541666668</v>
      </c>
      <c r="I116" s="5">
        <v>4.7948842249999997</v>
      </c>
      <c r="J116" s="5">
        <v>5.5162282166666659</v>
      </c>
      <c r="K116" s="5">
        <v>5.2342281999999996</v>
      </c>
      <c r="L116" s="6">
        <f t="shared" si="2"/>
        <v>0.6041288291666671</v>
      </c>
      <c r="M116" s="6">
        <f t="shared" si="3"/>
        <v>0.2820000166666663</v>
      </c>
    </row>
    <row r="117" spans="1:13" x14ac:dyDescent="0.3">
      <c r="A117" s="4" t="s">
        <v>353</v>
      </c>
      <c r="B117" s="4">
        <v>5</v>
      </c>
      <c r="C117" s="4">
        <v>115124762</v>
      </c>
      <c r="D117" s="4">
        <v>115180546</v>
      </c>
      <c r="E117" s="4">
        <v>4.3839756000000001E-2</v>
      </c>
      <c r="F117" s="4" t="s">
        <v>354</v>
      </c>
      <c r="G117" s="4" t="s">
        <v>355</v>
      </c>
      <c r="H117" s="5">
        <v>1.6011662154166666</v>
      </c>
      <c r="I117" s="5">
        <v>0.62909848486249997</v>
      </c>
      <c r="J117" s="5">
        <v>2.5306884666666662</v>
      </c>
      <c r="K117" s="5">
        <v>2.1798233100000002</v>
      </c>
      <c r="L117" s="6">
        <f t="shared" si="2"/>
        <v>0.97206773055416662</v>
      </c>
      <c r="M117" s="6">
        <f t="shared" si="3"/>
        <v>0.35086515666666607</v>
      </c>
    </row>
    <row r="118" spans="1:13" x14ac:dyDescent="0.3">
      <c r="A118" s="4" t="s">
        <v>356</v>
      </c>
      <c r="B118" s="4">
        <v>5</v>
      </c>
      <c r="C118" s="4">
        <v>131245493</v>
      </c>
      <c r="D118" s="4">
        <v>131398447</v>
      </c>
      <c r="E118" s="4">
        <v>3.2603345999999998E-2</v>
      </c>
      <c r="F118" s="4" t="s">
        <v>357</v>
      </c>
      <c r="G118" s="4" t="s">
        <v>358</v>
      </c>
      <c r="H118" s="5">
        <v>3.0052245875000008</v>
      </c>
      <c r="I118" s="5">
        <v>2.2463059750000003</v>
      </c>
      <c r="J118" s="5">
        <v>3.3794378666666667</v>
      </c>
      <c r="K118" s="5">
        <v>2.6468916666666669</v>
      </c>
      <c r="L118" s="6">
        <f t="shared" si="2"/>
        <v>0.75891861250000048</v>
      </c>
      <c r="M118" s="6">
        <f t="shared" si="3"/>
        <v>0.73254619999999981</v>
      </c>
    </row>
    <row r="119" spans="1:13" x14ac:dyDescent="0.3">
      <c r="A119" s="4" t="s">
        <v>359</v>
      </c>
      <c r="B119" s="4">
        <v>5</v>
      </c>
      <c r="C119" s="4">
        <v>132410636</v>
      </c>
      <c r="D119" s="4">
        <v>132476044</v>
      </c>
      <c r="E119" s="4">
        <v>2.8784371999999999E-2</v>
      </c>
      <c r="F119" s="4" t="s">
        <v>360</v>
      </c>
      <c r="G119" s="4" t="s">
        <v>361</v>
      </c>
      <c r="H119" s="5">
        <v>2.7803555541666665</v>
      </c>
      <c r="I119" s="5">
        <v>1.8682772999999999</v>
      </c>
      <c r="J119" s="5">
        <v>3.3640530999999996</v>
      </c>
      <c r="K119" s="5">
        <v>2.1117559333333333</v>
      </c>
      <c r="L119" s="6">
        <f t="shared" si="2"/>
        <v>0.91207825416666655</v>
      </c>
      <c r="M119" s="6">
        <f t="shared" si="3"/>
        <v>1.2522971666666662</v>
      </c>
    </row>
    <row r="120" spans="1:13" x14ac:dyDescent="0.3">
      <c r="A120" s="4" t="s">
        <v>362</v>
      </c>
      <c r="B120" s="4">
        <v>5</v>
      </c>
      <c r="C120" s="4">
        <v>132481609</v>
      </c>
      <c r="D120" s="4">
        <v>132490798</v>
      </c>
      <c r="E120" s="4">
        <v>1.9141915999999998E-2</v>
      </c>
      <c r="F120" s="4" t="s">
        <v>363</v>
      </c>
      <c r="G120" s="4" t="s">
        <v>364</v>
      </c>
      <c r="H120" s="5">
        <v>4.4424208708333337</v>
      </c>
      <c r="I120" s="5">
        <v>3.0036075874999999</v>
      </c>
      <c r="J120" s="5">
        <v>5.2385800500000004</v>
      </c>
      <c r="K120" s="5">
        <v>3.9412538999999995</v>
      </c>
      <c r="L120" s="6">
        <f t="shared" si="2"/>
        <v>1.4388132833333338</v>
      </c>
      <c r="M120" s="6">
        <f t="shared" si="3"/>
        <v>1.2973261500000008</v>
      </c>
    </row>
    <row r="121" spans="1:13" x14ac:dyDescent="0.3">
      <c r="A121" s="4" t="s">
        <v>365</v>
      </c>
      <c r="B121" s="4">
        <v>5</v>
      </c>
      <c r="C121" s="4">
        <v>151181052</v>
      </c>
      <c r="D121" s="4">
        <v>151224145</v>
      </c>
      <c r="E121" s="4">
        <v>1.9326304999999998E-2</v>
      </c>
      <c r="F121" s="4" t="s">
        <v>366</v>
      </c>
      <c r="G121" s="4" t="s">
        <v>367</v>
      </c>
      <c r="H121" s="5">
        <v>3.0682585291666662</v>
      </c>
      <c r="I121" s="5">
        <v>2.0010025374999998</v>
      </c>
      <c r="J121" s="5">
        <v>3.8881961833333332</v>
      </c>
      <c r="K121" s="5">
        <v>2.4052681000000002</v>
      </c>
      <c r="L121" s="6">
        <f t="shared" si="2"/>
        <v>1.0672559916666664</v>
      </c>
      <c r="M121" s="6">
        <f t="shared" si="3"/>
        <v>1.4829280833333329</v>
      </c>
    </row>
    <row r="122" spans="1:13" x14ac:dyDescent="0.3">
      <c r="A122" s="4" t="s">
        <v>368</v>
      </c>
      <c r="B122" s="4">
        <v>5</v>
      </c>
      <c r="C122" s="4">
        <v>157029413</v>
      </c>
      <c r="D122" s="4">
        <v>157059119</v>
      </c>
      <c r="E122" s="4">
        <v>2.9076320999999999E-2</v>
      </c>
      <c r="F122" s="4" t="s">
        <v>369</v>
      </c>
      <c r="G122" s="4" t="s">
        <v>370</v>
      </c>
      <c r="H122" s="5">
        <v>-0.36891103016666665</v>
      </c>
      <c r="I122" s="5">
        <v>-2.2833076187499999</v>
      </c>
      <c r="J122" s="5">
        <v>1.5362175216666667</v>
      </c>
      <c r="K122" s="5">
        <v>-2.3129782666666667</v>
      </c>
      <c r="L122" s="6">
        <f t="shared" si="2"/>
        <v>1.9143965885833332</v>
      </c>
      <c r="M122" s="6">
        <f t="shared" si="3"/>
        <v>3.8491957883333336</v>
      </c>
    </row>
    <row r="123" spans="1:13" x14ac:dyDescent="0.3">
      <c r="A123" s="4" t="s">
        <v>371</v>
      </c>
      <c r="B123" s="4">
        <v>5</v>
      </c>
      <c r="C123" s="4">
        <v>157142933</v>
      </c>
      <c r="D123" s="4">
        <v>157255191</v>
      </c>
      <c r="E123" s="4">
        <v>1.6538081999999999E-2</v>
      </c>
      <c r="F123" s="4" t="s">
        <v>372</v>
      </c>
      <c r="G123" s="4" t="s">
        <v>373</v>
      </c>
      <c r="H123" s="5">
        <v>3.8016477083333338</v>
      </c>
      <c r="I123" s="5">
        <v>2.5029757087500002</v>
      </c>
      <c r="J123" s="5">
        <v>5.2986607999999995</v>
      </c>
      <c r="K123" s="5">
        <v>3.0126907666666667</v>
      </c>
      <c r="L123" s="6">
        <f t="shared" si="2"/>
        <v>1.2986719995833336</v>
      </c>
      <c r="M123" s="6">
        <f t="shared" si="3"/>
        <v>2.2859700333333328</v>
      </c>
    </row>
    <row r="124" spans="1:13" x14ac:dyDescent="0.3">
      <c r="A124" s="4" t="s">
        <v>374</v>
      </c>
      <c r="B124" s="4">
        <v>5</v>
      </c>
      <c r="C124" s="4">
        <v>157341600</v>
      </c>
      <c r="D124" s="4">
        <v>157345721</v>
      </c>
      <c r="E124" s="4">
        <v>4.1277990000000001E-2</v>
      </c>
      <c r="F124" s="4" t="s">
        <v>375</v>
      </c>
      <c r="G124" s="4" t="s">
        <v>376</v>
      </c>
      <c r="H124" s="5">
        <v>-1.6186446633333331</v>
      </c>
      <c r="I124" s="5">
        <v>-3.0222247500000003</v>
      </c>
      <c r="J124" s="5">
        <v>-0.46912676333333336</v>
      </c>
      <c r="K124" s="5">
        <v>-2.437776766666667</v>
      </c>
      <c r="L124" s="6">
        <f t="shared" si="2"/>
        <v>1.4035800866666672</v>
      </c>
      <c r="M124" s="6">
        <f t="shared" si="3"/>
        <v>1.9686500033333336</v>
      </c>
    </row>
    <row r="125" spans="1:13" x14ac:dyDescent="0.3">
      <c r="A125" s="4" t="s">
        <v>377</v>
      </c>
      <c r="B125" s="4">
        <v>5</v>
      </c>
      <c r="C125" s="4">
        <v>168291651</v>
      </c>
      <c r="D125" s="4">
        <v>168472303</v>
      </c>
      <c r="E125" s="4">
        <v>2.4635267999999998E-2</v>
      </c>
      <c r="F125" s="4" t="s">
        <v>378</v>
      </c>
      <c r="G125" s="4" t="s">
        <v>379</v>
      </c>
      <c r="H125" s="5">
        <v>2.2854888387499996</v>
      </c>
      <c r="I125" s="5">
        <v>1.6729490712499999</v>
      </c>
      <c r="J125" s="5">
        <v>1.6782356833333336</v>
      </c>
      <c r="K125" s="5">
        <v>3.1503174999999999</v>
      </c>
      <c r="L125" s="6">
        <f t="shared" si="2"/>
        <v>0.61253976749999972</v>
      </c>
      <c r="M125" s="6">
        <f t="shared" si="3"/>
        <v>-1.4720818166666663</v>
      </c>
    </row>
    <row r="126" spans="1:13" x14ac:dyDescent="0.3">
      <c r="A126" s="4" t="s">
        <v>380</v>
      </c>
      <c r="B126" s="4">
        <v>5</v>
      </c>
      <c r="C126" s="4">
        <v>169637247</v>
      </c>
      <c r="D126" s="4">
        <v>170083382</v>
      </c>
      <c r="E126" s="4">
        <v>4.9897856999999997E-2</v>
      </c>
      <c r="F126" s="4" t="s">
        <v>381</v>
      </c>
      <c r="G126" s="4" t="s">
        <v>382</v>
      </c>
      <c r="H126" s="5">
        <v>5.8064737666666675</v>
      </c>
      <c r="I126" s="5">
        <v>4.8531321500000004</v>
      </c>
      <c r="J126" s="5">
        <v>6.5423710000000002</v>
      </c>
      <c r="K126" s="5">
        <v>5.0828607333333329</v>
      </c>
      <c r="L126" s="6">
        <f t="shared" si="2"/>
        <v>0.95334161666666706</v>
      </c>
      <c r="M126" s="6">
        <f t="shared" si="3"/>
        <v>1.4595102666666673</v>
      </c>
    </row>
    <row r="127" spans="1:13" x14ac:dyDescent="0.3">
      <c r="A127" s="4" t="s">
        <v>383</v>
      </c>
      <c r="B127" s="4">
        <v>5</v>
      </c>
      <c r="C127" s="4">
        <v>173888280</v>
      </c>
      <c r="D127" s="4">
        <v>173961976</v>
      </c>
      <c r="E127" s="4">
        <v>4.1277990000000001E-2</v>
      </c>
      <c r="F127" s="4" t="s">
        <v>384</v>
      </c>
      <c r="G127" s="4" t="s">
        <v>385</v>
      </c>
      <c r="H127" s="5">
        <v>4.7670257750000005</v>
      </c>
      <c r="I127" s="5">
        <v>4.2284794750000003</v>
      </c>
      <c r="J127" s="5">
        <v>5.0047803833333342</v>
      </c>
      <c r="K127" s="5">
        <v>4.8397440999999999</v>
      </c>
      <c r="L127" s="6">
        <f t="shared" si="2"/>
        <v>0.53854630000000014</v>
      </c>
      <c r="M127" s="6">
        <f t="shared" si="3"/>
        <v>0.16503628333333431</v>
      </c>
    </row>
    <row r="128" spans="1:13" x14ac:dyDescent="0.3">
      <c r="A128" s="4" t="s">
        <v>386</v>
      </c>
      <c r="B128" s="4">
        <v>6</v>
      </c>
      <c r="C128" s="4">
        <v>13357830</v>
      </c>
      <c r="D128" s="4">
        <v>13487662</v>
      </c>
      <c r="E128" s="4">
        <v>5.5868840000000003E-3</v>
      </c>
      <c r="F128" s="4" t="s">
        <v>387</v>
      </c>
      <c r="G128" s="4" t="s">
        <v>388</v>
      </c>
      <c r="H128" s="5">
        <v>2.3601814312500005</v>
      </c>
      <c r="I128" s="5">
        <v>0.65365259624999994</v>
      </c>
      <c r="J128" s="5">
        <v>2.6287969666666666</v>
      </c>
      <c r="K128" s="5">
        <v>2.2509754333333336</v>
      </c>
      <c r="L128" s="6">
        <f t="shared" si="2"/>
        <v>1.7065288350000005</v>
      </c>
      <c r="M128" s="6">
        <f t="shared" si="3"/>
        <v>0.37782153333333302</v>
      </c>
    </row>
    <row r="129" spans="1:13" x14ac:dyDescent="0.3">
      <c r="A129" s="4" t="s">
        <v>389</v>
      </c>
      <c r="B129" s="4">
        <v>6</v>
      </c>
      <c r="C129" s="4">
        <v>18387350</v>
      </c>
      <c r="D129" s="4">
        <v>18468874</v>
      </c>
      <c r="E129" s="4">
        <v>1.0117314000000001E-2</v>
      </c>
      <c r="F129" s="4" t="s">
        <v>390</v>
      </c>
      <c r="G129" s="4" t="s">
        <v>391</v>
      </c>
      <c r="H129" s="5">
        <v>3.1178387958333338</v>
      </c>
      <c r="I129" s="5">
        <v>2.334736345</v>
      </c>
      <c r="J129" s="5">
        <v>3.6660746999999998</v>
      </c>
      <c r="K129" s="5">
        <v>2.8351075666666667</v>
      </c>
      <c r="L129" s="6">
        <f t="shared" si="2"/>
        <v>0.78310245083333374</v>
      </c>
      <c r="M129" s="6">
        <f t="shared" si="3"/>
        <v>0.83096713333333305</v>
      </c>
    </row>
    <row r="130" spans="1:13" x14ac:dyDescent="0.3">
      <c r="A130" s="4" t="s">
        <v>392</v>
      </c>
      <c r="B130" s="4">
        <v>6</v>
      </c>
      <c r="C130" s="4">
        <v>24797373</v>
      </c>
      <c r="D130" s="4">
        <v>25042168</v>
      </c>
      <c r="E130" s="4">
        <v>3.7212790000000003E-2</v>
      </c>
      <c r="F130" s="4" t="s">
        <v>393</v>
      </c>
      <c r="G130" s="4" t="s">
        <v>394</v>
      </c>
      <c r="H130" s="5">
        <v>4.3304836750000009</v>
      </c>
      <c r="I130" s="5">
        <v>3.4091847125000005</v>
      </c>
      <c r="J130" s="5">
        <v>4.7405667500000002</v>
      </c>
      <c r="K130" s="5">
        <v>3.6541686666666671</v>
      </c>
      <c r="L130" s="6">
        <f t="shared" si="2"/>
        <v>0.92129896250000032</v>
      </c>
      <c r="M130" s="6">
        <f t="shared" si="3"/>
        <v>1.0863980833333331</v>
      </c>
    </row>
    <row r="131" spans="1:13" x14ac:dyDescent="0.3">
      <c r="A131" s="4" t="s">
        <v>395</v>
      </c>
      <c r="B131" s="4">
        <v>6</v>
      </c>
      <c r="C131" s="4">
        <v>26365159</v>
      </c>
      <c r="D131" s="4">
        <v>26378320</v>
      </c>
      <c r="E131" s="4">
        <v>1.2922492000000001E-2</v>
      </c>
      <c r="F131" s="4" t="s">
        <v>396</v>
      </c>
      <c r="G131" s="4" t="s">
        <v>397</v>
      </c>
      <c r="H131" s="5">
        <v>5.0120105541666655</v>
      </c>
      <c r="I131" s="5">
        <v>4.1446631750000007</v>
      </c>
      <c r="J131" s="5">
        <v>5.6252797500000007</v>
      </c>
      <c r="K131" s="5">
        <v>4.8220959666666667</v>
      </c>
      <c r="L131" s="6">
        <f t="shared" si="2"/>
        <v>0.86734737916666482</v>
      </c>
      <c r="M131" s="6">
        <f t="shared" si="3"/>
        <v>0.80318378333333396</v>
      </c>
    </row>
    <row r="132" spans="1:13" x14ac:dyDescent="0.3">
      <c r="A132" s="4" t="s">
        <v>398</v>
      </c>
      <c r="B132" s="4">
        <v>6</v>
      </c>
      <c r="C132" s="4">
        <v>26402237</v>
      </c>
      <c r="D132" s="4">
        <v>26415216</v>
      </c>
      <c r="E132" s="4">
        <v>3.4498688E-2</v>
      </c>
      <c r="F132" s="4" t="s">
        <v>399</v>
      </c>
      <c r="G132" s="4" t="s">
        <v>400</v>
      </c>
      <c r="H132" s="5">
        <v>4.8577571708333327</v>
      </c>
      <c r="I132" s="5">
        <v>4.0979439250000009</v>
      </c>
      <c r="J132" s="5">
        <v>5.4248409333333329</v>
      </c>
      <c r="K132" s="5">
        <v>4.4126732333333329</v>
      </c>
      <c r="L132" s="6">
        <f t="shared" si="2"/>
        <v>0.75981324583333176</v>
      </c>
      <c r="M132" s="6">
        <f t="shared" si="3"/>
        <v>1.0121677</v>
      </c>
    </row>
    <row r="133" spans="1:13" x14ac:dyDescent="0.3">
      <c r="A133" s="4" t="s">
        <v>401</v>
      </c>
      <c r="B133" s="4">
        <v>6</v>
      </c>
      <c r="C133" s="4">
        <v>27911185</v>
      </c>
      <c r="D133" s="4">
        <v>27912396</v>
      </c>
      <c r="E133" s="4">
        <v>3.0888539E-2</v>
      </c>
      <c r="F133" s="4" t="s">
        <v>402</v>
      </c>
      <c r="G133" s="4" t="s">
        <v>403</v>
      </c>
      <c r="H133" s="5">
        <v>-3.263365593333333</v>
      </c>
      <c r="I133" s="5">
        <v>-2.2466062375</v>
      </c>
      <c r="J133" s="5">
        <v>-4.4905532333333333</v>
      </c>
      <c r="K133" s="5">
        <v>-2.6574311500000003</v>
      </c>
      <c r="L133" s="6">
        <f t="shared" ref="L133:L196" si="4">H133-I133</f>
        <v>-1.016759355833333</v>
      </c>
      <c r="M133" s="6">
        <f t="shared" ref="M133:M196" si="5">J133-K133</f>
        <v>-1.833122083333333</v>
      </c>
    </row>
    <row r="134" spans="1:13" x14ac:dyDescent="0.3">
      <c r="A134" s="4" t="s">
        <v>404</v>
      </c>
      <c r="B134" s="4">
        <v>6</v>
      </c>
      <c r="C134" s="4">
        <v>27957241</v>
      </c>
      <c r="D134" s="4">
        <v>27958182</v>
      </c>
      <c r="E134" s="4">
        <v>4.3839756000000001E-2</v>
      </c>
      <c r="F134" s="4" t="s">
        <v>405</v>
      </c>
      <c r="G134" s="4" t="s">
        <v>406</v>
      </c>
      <c r="H134" s="5">
        <v>-2.8213935224999998</v>
      </c>
      <c r="I134" s="5">
        <v>-2.4161838375000002</v>
      </c>
      <c r="J134" s="5">
        <v>-4.3238866333333332</v>
      </c>
      <c r="K134" s="5">
        <v>-2.7109194000000003</v>
      </c>
      <c r="L134" s="6">
        <f t="shared" si="4"/>
        <v>-0.40520968499999954</v>
      </c>
      <c r="M134" s="6">
        <f t="shared" si="5"/>
        <v>-1.6129672333333329</v>
      </c>
    </row>
    <row r="135" spans="1:13" x14ac:dyDescent="0.3">
      <c r="A135" s="4" t="s">
        <v>407</v>
      </c>
      <c r="B135" s="4">
        <v>6</v>
      </c>
      <c r="C135" s="4">
        <v>29555515</v>
      </c>
      <c r="D135" s="4">
        <v>29559925</v>
      </c>
      <c r="E135" s="4">
        <v>7.5481454999999998E-3</v>
      </c>
      <c r="F135" s="4" t="s">
        <v>408</v>
      </c>
      <c r="G135" s="4" t="s">
        <v>409</v>
      </c>
      <c r="H135" s="5">
        <v>2.7475490395833329</v>
      </c>
      <c r="I135" s="5">
        <v>0.57671240612499997</v>
      </c>
      <c r="J135" s="5">
        <v>4.0059657</v>
      </c>
      <c r="K135" s="5">
        <v>2.1727231666666666</v>
      </c>
      <c r="L135" s="6">
        <f t="shared" si="4"/>
        <v>2.1708366334583329</v>
      </c>
      <c r="M135" s="6">
        <f t="shared" si="5"/>
        <v>1.8332425333333333</v>
      </c>
    </row>
    <row r="136" spans="1:13" x14ac:dyDescent="0.3">
      <c r="A136" s="4" t="s">
        <v>410</v>
      </c>
      <c r="B136" s="4">
        <v>6</v>
      </c>
      <c r="C136" s="4">
        <v>29722775</v>
      </c>
      <c r="D136" s="4">
        <v>29738528</v>
      </c>
      <c r="E136" s="4">
        <v>2.6126646999999999E-2</v>
      </c>
      <c r="F136" s="4" t="s">
        <v>411</v>
      </c>
      <c r="G136" s="4" t="s">
        <v>412</v>
      </c>
      <c r="H136" s="5">
        <v>5.1056057541666666</v>
      </c>
      <c r="I136" s="5">
        <v>4.0612439499999997</v>
      </c>
      <c r="J136" s="5">
        <v>5.7459367833333337</v>
      </c>
      <c r="K136" s="5">
        <v>4.6305504666666666</v>
      </c>
      <c r="L136" s="6">
        <f t="shared" si="4"/>
        <v>1.0443618041666669</v>
      </c>
      <c r="M136" s="6">
        <f t="shared" si="5"/>
        <v>1.1153863166666671</v>
      </c>
    </row>
    <row r="137" spans="1:13" x14ac:dyDescent="0.3">
      <c r="A137" s="4" t="s">
        <v>413</v>
      </c>
      <c r="B137" s="4">
        <v>6</v>
      </c>
      <c r="C137" s="4">
        <v>29726601</v>
      </c>
      <c r="D137" s="4">
        <v>29749049</v>
      </c>
      <c r="E137" s="4">
        <v>3.7785872999999998E-2</v>
      </c>
      <c r="F137" s="4" t="s">
        <v>414</v>
      </c>
      <c r="G137" s="4" t="s">
        <v>415</v>
      </c>
      <c r="H137" s="5">
        <v>2.9457001083333334</v>
      </c>
      <c r="I137" s="5">
        <v>1.8395991949999999</v>
      </c>
      <c r="J137" s="5">
        <v>3.4095612833333333</v>
      </c>
      <c r="K137" s="5">
        <v>2.1785239666666669</v>
      </c>
      <c r="L137" s="6">
        <f t="shared" si="4"/>
        <v>1.1061009133333335</v>
      </c>
      <c r="M137" s="6">
        <f t="shared" si="5"/>
        <v>1.2310373166666664</v>
      </c>
    </row>
    <row r="138" spans="1:13" x14ac:dyDescent="0.3">
      <c r="A138" s="4" t="s">
        <v>416</v>
      </c>
      <c r="B138" s="4">
        <v>6</v>
      </c>
      <c r="C138" s="4">
        <v>32844136</v>
      </c>
      <c r="D138" s="4">
        <v>32859585</v>
      </c>
      <c r="E138" s="4">
        <v>1.5172975999999999E-2</v>
      </c>
      <c r="F138" s="4" t="s">
        <v>417</v>
      </c>
      <c r="G138" s="4" t="s">
        <v>418</v>
      </c>
      <c r="H138" s="5">
        <v>3.3210862333333329</v>
      </c>
      <c r="I138" s="5">
        <v>1.8962175100000001</v>
      </c>
      <c r="J138" s="5">
        <v>3.8852521833333333</v>
      </c>
      <c r="K138" s="5">
        <v>3.0132995</v>
      </c>
      <c r="L138" s="6">
        <f t="shared" si="4"/>
        <v>1.4248687233333328</v>
      </c>
      <c r="M138" s="6">
        <f t="shared" si="5"/>
        <v>0.87195268333333331</v>
      </c>
    </row>
    <row r="139" spans="1:13" x14ac:dyDescent="0.3">
      <c r="A139" s="4" t="s">
        <v>419</v>
      </c>
      <c r="B139" s="4">
        <v>6</v>
      </c>
      <c r="C139" s="4">
        <v>36354642</v>
      </c>
      <c r="D139" s="4">
        <v>36387800</v>
      </c>
      <c r="E139" s="4">
        <v>1.6538081999999999E-2</v>
      </c>
      <c r="F139" s="4" t="s">
        <v>420</v>
      </c>
      <c r="G139" s="4" t="s">
        <v>421</v>
      </c>
      <c r="H139" s="5">
        <v>1.0176738062499997</v>
      </c>
      <c r="I139" s="5">
        <v>-1.1759504624999999</v>
      </c>
      <c r="J139" s="5">
        <v>2.1814329833333335</v>
      </c>
      <c r="K139" s="5">
        <v>1.0138860733333332</v>
      </c>
      <c r="L139" s="6">
        <f t="shared" si="4"/>
        <v>2.1936242687499998</v>
      </c>
      <c r="M139" s="6">
        <f t="shared" si="5"/>
        <v>1.1675469100000002</v>
      </c>
    </row>
    <row r="140" spans="1:13" x14ac:dyDescent="0.3">
      <c r="A140" s="4" t="s">
        <v>422</v>
      </c>
      <c r="B140" s="4">
        <v>6</v>
      </c>
      <c r="C140" s="4">
        <v>53929982</v>
      </c>
      <c r="D140" s="4">
        <v>54266280</v>
      </c>
      <c r="E140" s="4">
        <v>2.8471446000000001E-2</v>
      </c>
      <c r="F140" s="4" t="s">
        <v>423</v>
      </c>
      <c r="G140" s="4" t="s">
        <v>424</v>
      </c>
      <c r="H140" s="5">
        <v>1.4409920412500001</v>
      </c>
      <c r="I140" s="5">
        <v>-7.3072987499999964E-2</v>
      </c>
      <c r="J140" s="5">
        <v>3.5197636999999999</v>
      </c>
      <c r="K140" s="5">
        <v>1.6508049333333332</v>
      </c>
      <c r="L140" s="6">
        <f t="shared" si="4"/>
        <v>1.5140650287500002</v>
      </c>
      <c r="M140" s="6">
        <f t="shared" si="5"/>
        <v>1.8689587666666667</v>
      </c>
    </row>
    <row r="141" spans="1:13" x14ac:dyDescent="0.3">
      <c r="A141" s="4" t="s">
        <v>425</v>
      </c>
      <c r="B141" s="4">
        <v>6</v>
      </c>
      <c r="C141" s="4">
        <v>71288803</v>
      </c>
      <c r="D141" s="4">
        <v>71308950</v>
      </c>
      <c r="E141" s="4">
        <v>1.6538081999999999E-2</v>
      </c>
      <c r="F141" s="4" t="s">
        <v>426</v>
      </c>
      <c r="G141" s="4" t="s">
        <v>427</v>
      </c>
      <c r="H141" s="5">
        <v>4.2367727625000002</v>
      </c>
      <c r="I141" s="5">
        <v>3.4322884</v>
      </c>
      <c r="J141" s="5">
        <v>4.1394889499999996</v>
      </c>
      <c r="K141" s="5">
        <v>3.8412612333333329</v>
      </c>
      <c r="L141" s="6">
        <f t="shared" si="4"/>
        <v>0.80448436250000022</v>
      </c>
      <c r="M141" s="6">
        <f t="shared" si="5"/>
        <v>0.2982277166666667</v>
      </c>
    </row>
    <row r="142" spans="1:13" x14ac:dyDescent="0.3">
      <c r="A142" s="4" t="s">
        <v>428</v>
      </c>
      <c r="B142" s="4">
        <v>6</v>
      </c>
      <c r="C142" s="4">
        <v>109492856</v>
      </c>
      <c r="D142" s="4">
        <v>109691217</v>
      </c>
      <c r="E142" s="4">
        <v>4.3839756000000001E-2</v>
      </c>
      <c r="F142" s="4" t="s">
        <v>429</v>
      </c>
      <c r="G142" s="4" t="s">
        <v>430</v>
      </c>
      <c r="H142" s="5">
        <v>3.3645102041666664</v>
      </c>
      <c r="I142" s="5">
        <v>2.5817391000000005</v>
      </c>
      <c r="J142" s="5">
        <v>3.7499896499999998</v>
      </c>
      <c r="K142" s="5">
        <v>3.9900139999999999</v>
      </c>
      <c r="L142" s="6">
        <f t="shared" si="4"/>
        <v>0.78277110416666584</v>
      </c>
      <c r="M142" s="6">
        <f t="shared" si="5"/>
        <v>-0.24002435000000011</v>
      </c>
    </row>
    <row r="143" spans="1:13" x14ac:dyDescent="0.3">
      <c r="A143" s="4" t="s">
        <v>431</v>
      </c>
      <c r="B143" s="4">
        <v>6</v>
      </c>
      <c r="C143" s="4">
        <v>116461370</v>
      </c>
      <c r="D143" s="4">
        <v>116463779</v>
      </c>
      <c r="E143" s="4">
        <v>1.74237E-2</v>
      </c>
      <c r="F143" s="4" t="s">
        <v>432</v>
      </c>
      <c r="G143" s="4" t="s">
        <v>433</v>
      </c>
      <c r="H143" s="5">
        <v>1.5541903750000001</v>
      </c>
      <c r="I143" s="5">
        <v>-0.54541956949999992</v>
      </c>
      <c r="J143" s="5">
        <v>2.425315883333333</v>
      </c>
      <c r="K143" s="5">
        <v>0.78566604000000007</v>
      </c>
      <c r="L143" s="6">
        <f t="shared" si="4"/>
        <v>2.0996099445</v>
      </c>
      <c r="M143" s="6">
        <f t="shared" si="5"/>
        <v>1.6396498433333329</v>
      </c>
    </row>
    <row r="144" spans="1:13" x14ac:dyDescent="0.3">
      <c r="A144" s="4" t="s">
        <v>434</v>
      </c>
      <c r="B144" s="4">
        <v>6</v>
      </c>
      <c r="C144" s="4">
        <v>127708072</v>
      </c>
      <c r="D144" s="4">
        <v>127918631</v>
      </c>
      <c r="E144" s="4">
        <v>1.1925198999999999E-2</v>
      </c>
      <c r="F144" s="4" t="s">
        <v>435</v>
      </c>
      <c r="G144" s="4" t="s">
        <v>436</v>
      </c>
      <c r="H144" s="5">
        <v>2.5287912458333333</v>
      </c>
      <c r="I144" s="5">
        <v>0.74697406562500002</v>
      </c>
      <c r="J144" s="5">
        <v>3.7560886666666669</v>
      </c>
      <c r="K144" s="5">
        <v>0.93526414000000002</v>
      </c>
      <c r="L144" s="6">
        <f t="shared" si="4"/>
        <v>1.7818171802083334</v>
      </c>
      <c r="M144" s="6">
        <f t="shared" si="5"/>
        <v>2.8208245266666667</v>
      </c>
    </row>
    <row r="145" spans="1:13" x14ac:dyDescent="0.3">
      <c r="A145" s="4" t="s">
        <v>437</v>
      </c>
      <c r="B145" s="4">
        <v>6</v>
      </c>
      <c r="C145" s="4">
        <v>130144315</v>
      </c>
      <c r="D145" s="4">
        <v>130365425</v>
      </c>
      <c r="E145" s="4">
        <v>4.189441E-2</v>
      </c>
      <c r="F145" s="4" t="s">
        <v>438</v>
      </c>
      <c r="G145" s="4" t="s">
        <v>439</v>
      </c>
      <c r="H145" s="5">
        <v>1.9513301410666666</v>
      </c>
      <c r="I145" s="5">
        <v>0.56988414375000007</v>
      </c>
      <c r="J145" s="5">
        <v>2.9962043666666669</v>
      </c>
      <c r="K145" s="5">
        <v>0.74620115666666675</v>
      </c>
      <c r="L145" s="6">
        <f t="shared" si="4"/>
        <v>1.3814459973166664</v>
      </c>
      <c r="M145" s="6">
        <f t="shared" si="5"/>
        <v>2.25000321</v>
      </c>
    </row>
    <row r="146" spans="1:13" x14ac:dyDescent="0.3">
      <c r="A146" s="4" t="s">
        <v>440</v>
      </c>
      <c r="B146" s="4">
        <v>6</v>
      </c>
      <c r="C146" s="4">
        <v>132743870</v>
      </c>
      <c r="D146" s="4">
        <v>132763459</v>
      </c>
      <c r="E146" s="4">
        <v>1.74237E-2</v>
      </c>
      <c r="F146" s="4" t="s">
        <v>441</v>
      </c>
      <c r="G146" s="4" t="s">
        <v>442</v>
      </c>
      <c r="H146" s="5">
        <v>1.9053783705833336</v>
      </c>
      <c r="I146" s="5">
        <v>0.63524409374999991</v>
      </c>
      <c r="J146" s="5">
        <v>3.0199193333333336</v>
      </c>
      <c r="K146" s="5">
        <v>1.5204144499999999</v>
      </c>
      <c r="L146" s="6">
        <f t="shared" si="4"/>
        <v>1.2701342768333337</v>
      </c>
      <c r="M146" s="6">
        <f t="shared" si="5"/>
        <v>1.4995048833333338</v>
      </c>
    </row>
    <row r="147" spans="1:13" x14ac:dyDescent="0.3">
      <c r="A147" s="4" t="s">
        <v>443</v>
      </c>
      <c r="B147" s="4">
        <v>6</v>
      </c>
      <c r="C147" s="4">
        <v>135851696</v>
      </c>
      <c r="D147" s="4">
        <v>136195574</v>
      </c>
      <c r="E147" s="4">
        <v>3.3804340000000002E-2</v>
      </c>
      <c r="F147" s="4" t="s">
        <v>444</v>
      </c>
      <c r="G147" s="4" t="s">
        <v>445</v>
      </c>
      <c r="H147" s="5">
        <v>2.4823785312500002</v>
      </c>
      <c r="I147" s="5">
        <v>2.7770047999999998</v>
      </c>
      <c r="J147" s="5">
        <v>2.4789381083333333</v>
      </c>
      <c r="K147" s="5">
        <v>2.1478964166666663</v>
      </c>
      <c r="L147" s="6">
        <f t="shared" si="4"/>
        <v>-0.29462626874999964</v>
      </c>
      <c r="M147" s="6">
        <f t="shared" si="5"/>
        <v>0.33104169166666697</v>
      </c>
    </row>
    <row r="148" spans="1:13" x14ac:dyDescent="0.3">
      <c r="A148" s="4" t="s">
        <v>446</v>
      </c>
      <c r="B148" s="4">
        <v>6</v>
      </c>
      <c r="C148" s="4">
        <v>137197484</v>
      </c>
      <c r="D148" s="4">
        <v>137219449</v>
      </c>
      <c r="E148" s="4">
        <v>1.0117314000000001E-2</v>
      </c>
      <c r="F148" s="4" t="s">
        <v>447</v>
      </c>
      <c r="G148" s="4" t="s">
        <v>448</v>
      </c>
      <c r="H148" s="5">
        <v>4.8918805666666669</v>
      </c>
      <c r="I148" s="5">
        <v>4.3631209374999997</v>
      </c>
      <c r="J148" s="5">
        <v>5.1967783833333332</v>
      </c>
      <c r="K148" s="5">
        <v>4.9926066666666662</v>
      </c>
      <c r="L148" s="6">
        <f t="shared" si="4"/>
        <v>0.52875962916666719</v>
      </c>
      <c r="M148" s="6">
        <f t="shared" si="5"/>
        <v>0.204171716666667</v>
      </c>
    </row>
    <row r="149" spans="1:13" x14ac:dyDescent="0.3">
      <c r="A149" s="4" t="s">
        <v>449</v>
      </c>
      <c r="B149" s="4">
        <v>6</v>
      </c>
      <c r="C149" s="4">
        <v>137867188</v>
      </c>
      <c r="D149" s="4">
        <v>137883312</v>
      </c>
      <c r="E149" s="4">
        <v>2.0893849999999999E-2</v>
      </c>
      <c r="F149" s="4" t="s">
        <v>450</v>
      </c>
      <c r="G149" s="4" t="s">
        <v>451</v>
      </c>
      <c r="H149" s="5">
        <v>4.6119355458333322</v>
      </c>
      <c r="I149" s="5">
        <v>3.5964178250000001</v>
      </c>
      <c r="J149" s="5">
        <v>5.0147161666666671</v>
      </c>
      <c r="K149" s="5">
        <v>4.5591003666666667</v>
      </c>
      <c r="L149" s="6">
        <f t="shared" si="4"/>
        <v>1.0155177208333321</v>
      </c>
      <c r="M149" s="6">
        <f t="shared" si="5"/>
        <v>0.45561580000000035</v>
      </c>
    </row>
    <row r="150" spans="1:13" x14ac:dyDescent="0.3">
      <c r="A150" s="4" t="s">
        <v>452</v>
      </c>
      <c r="B150" s="4">
        <v>6</v>
      </c>
      <c r="C150" s="4">
        <v>142751467</v>
      </c>
      <c r="D150" s="4">
        <v>142945201</v>
      </c>
      <c r="E150" s="4">
        <v>4.0258071999999999E-2</v>
      </c>
      <c r="F150" s="4" t="s">
        <v>453</v>
      </c>
      <c r="G150" s="4" t="s">
        <v>454</v>
      </c>
      <c r="H150" s="5">
        <v>5.9298812625000004</v>
      </c>
      <c r="I150" s="5">
        <v>5.4768230625000003</v>
      </c>
      <c r="J150" s="5">
        <v>5.9628260166666669</v>
      </c>
      <c r="K150" s="5">
        <v>5.9168808999999998</v>
      </c>
      <c r="L150" s="6">
        <f t="shared" si="4"/>
        <v>0.45305820000000008</v>
      </c>
      <c r="M150" s="6">
        <f t="shared" si="5"/>
        <v>4.5945116666667118E-2</v>
      </c>
    </row>
    <row r="151" spans="1:13" x14ac:dyDescent="0.3">
      <c r="A151" s="4" t="s">
        <v>455</v>
      </c>
      <c r="B151" s="4">
        <v>6</v>
      </c>
      <c r="C151" s="4">
        <v>149400227</v>
      </c>
      <c r="D151" s="4">
        <v>149401292</v>
      </c>
      <c r="E151" s="4">
        <v>4.5056693000000002E-2</v>
      </c>
      <c r="F151" s="4" t="s">
        <v>456</v>
      </c>
      <c r="G151" s="4" t="s">
        <v>457</v>
      </c>
      <c r="H151" s="5">
        <v>0.19582491287499992</v>
      </c>
      <c r="I151" s="5">
        <v>-0.90383031962499993</v>
      </c>
      <c r="J151" s="5">
        <v>0.80706379966666664</v>
      </c>
      <c r="K151" s="5">
        <v>-0.86176591666666658</v>
      </c>
      <c r="L151" s="6">
        <f t="shared" si="4"/>
        <v>1.0996552325</v>
      </c>
      <c r="M151" s="6">
        <f t="shared" si="5"/>
        <v>1.6688297163333332</v>
      </c>
    </row>
    <row r="152" spans="1:13" x14ac:dyDescent="0.3">
      <c r="A152" s="4" t="s">
        <v>458</v>
      </c>
      <c r="B152" s="4">
        <v>6</v>
      </c>
      <c r="C152" s="4">
        <v>150599863</v>
      </c>
      <c r="D152" s="4">
        <v>150843665</v>
      </c>
      <c r="E152" s="4">
        <v>2.9465647000000001E-2</v>
      </c>
      <c r="F152" s="4" t="s">
        <v>459</v>
      </c>
      <c r="G152" s="4" t="s">
        <v>460</v>
      </c>
      <c r="H152" s="5">
        <v>4.6956233208333336</v>
      </c>
      <c r="I152" s="5">
        <v>3.7267560875000001</v>
      </c>
      <c r="J152" s="5">
        <v>4.7899086666666664</v>
      </c>
      <c r="K152" s="5">
        <v>4.5694704333333336</v>
      </c>
      <c r="L152" s="6">
        <f t="shared" si="4"/>
        <v>0.96886723333333347</v>
      </c>
      <c r="M152" s="6">
        <f t="shared" si="5"/>
        <v>0.22043823333333279</v>
      </c>
    </row>
    <row r="153" spans="1:13" x14ac:dyDescent="0.3">
      <c r="A153" s="4" t="s">
        <v>461</v>
      </c>
      <c r="B153" s="4">
        <v>6</v>
      </c>
      <c r="C153" s="4">
        <v>154154496</v>
      </c>
      <c r="D153" s="4">
        <v>154356792</v>
      </c>
      <c r="E153" s="4">
        <v>1.8891959E-2</v>
      </c>
      <c r="F153" s="4" t="s">
        <v>462</v>
      </c>
      <c r="G153" s="4" t="s">
        <v>463</v>
      </c>
      <c r="H153" s="5">
        <v>2.0686484517500001</v>
      </c>
      <c r="I153" s="5">
        <v>0.5008851875</v>
      </c>
      <c r="J153" s="5">
        <v>2.911299716666667</v>
      </c>
      <c r="K153" s="5">
        <v>0.60148577966666661</v>
      </c>
      <c r="L153" s="6">
        <f t="shared" si="4"/>
        <v>1.5677632642500001</v>
      </c>
      <c r="M153" s="6">
        <f t="shared" si="5"/>
        <v>2.3098139370000004</v>
      </c>
    </row>
    <row r="154" spans="1:13" x14ac:dyDescent="0.3">
      <c r="A154" s="4" t="s">
        <v>464</v>
      </c>
      <c r="B154" s="4">
        <v>6</v>
      </c>
      <c r="C154" s="4">
        <v>159034468</v>
      </c>
      <c r="D154" s="4">
        <v>159045152</v>
      </c>
      <c r="E154" s="4">
        <v>4.1277990000000001E-2</v>
      </c>
      <c r="F154" s="4" t="s">
        <v>465</v>
      </c>
      <c r="G154" s="4" t="s">
        <v>466</v>
      </c>
      <c r="H154" s="5">
        <v>3.3020887208333325</v>
      </c>
      <c r="I154" s="5">
        <v>2.1604557250000003</v>
      </c>
      <c r="J154" s="5">
        <v>4.3426585999999991</v>
      </c>
      <c r="K154" s="5">
        <v>2.5622159333333334</v>
      </c>
      <c r="L154" s="6">
        <f t="shared" si="4"/>
        <v>1.1416329958333322</v>
      </c>
      <c r="M154" s="6">
        <f t="shared" si="5"/>
        <v>1.7804426666666657</v>
      </c>
    </row>
    <row r="155" spans="1:13" x14ac:dyDescent="0.3">
      <c r="A155" s="4" t="s">
        <v>467</v>
      </c>
      <c r="B155" s="4">
        <v>7</v>
      </c>
      <c r="C155" s="4">
        <v>25134697</v>
      </c>
      <c r="D155" s="4">
        <v>25180356</v>
      </c>
      <c r="E155" s="4">
        <v>4.1277990000000001E-2</v>
      </c>
      <c r="F155" s="4" t="s">
        <v>468</v>
      </c>
      <c r="G155" s="4" t="s">
        <v>469</v>
      </c>
      <c r="H155" s="5">
        <v>3.3116325291666677</v>
      </c>
      <c r="I155" s="5">
        <v>2.5312465250000002</v>
      </c>
      <c r="J155" s="5">
        <v>3.455915716666667</v>
      </c>
      <c r="K155" s="5">
        <v>3.0430572333333337</v>
      </c>
      <c r="L155" s="6">
        <f t="shared" si="4"/>
        <v>0.78038600416666748</v>
      </c>
      <c r="M155" s="6">
        <f t="shared" si="5"/>
        <v>0.4128584833333333</v>
      </c>
    </row>
    <row r="156" spans="1:13" x14ac:dyDescent="0.3">
      <c r="A156" s="4" t="s">
        <v>470</v>
      </c>
      <c r="B156" s="4">
        <v>7</v>
      </c>
      <c r="C156" s="4">
        <v>28953358</v>
      </c>
      <c r="D156" s="4">
        <v>28958292</v>
      </c>
      <c r="E156" s="4">
        <v>3.5899783999999997E-2</v>
      </c>
      <c r="F156" s="4" t="s">
        <v>471</v>
      </c>
      <c r="G156" s="4" t="s">
        <v>472</v>
      </c>
      <c r="H156" s="5">
        <v>0.14012665629166662</v>
      </c>
      <c r="I156" s="5">
        <v>0.44990468624999985</v>
      </c>
      <c r="J156" s="5">
        <v>-2.3930047000000001</v>
      </c>
      <c r="K156" s="5">
        <v>-7.4242483333333345E-2</v>
      </c>
      <c r="L156" s="6">
        <f t="shared" si="4"/>
        <v>-0.30977802995833326</v>
      </c>
      <c r="M156" s="6">
        <f t="shared" si="5"/>
        <v>-2.3187622166666668</v>
      </c>
    </row>
    <row r="157" spans="1:13" x14ac:dyDescent="0.3">
      <c r="A157" s="4" t="s">
        <v>473</v>
      </c>
      <c r="B157" s="4">
        <v>7</v>
      </c>
      <c r="C157" s="4">
        <v>36512949</v>
      </c>
      <c r="D157" s="4">
        <v>36724549</v>
      </c>
      <c r="E157" s="4">
        <v>3.8147647E-2</v>
      </c>
      <c r="F157" s="4" t="s">
        <v>474</v>
      </c>
      <c r="G157" s="4" t="s">
        <v>475</v>
      </c>
      <c r="H157" s="5">
        <v>4.1936483083333327</v>
      </c>
      <c r="I157" s="5">
        <v>3.0683569500000001</v>
      </c>
      <c r="J157" s="5">
        <v>5.0778511666666661</v>
      </c>
      <c r="K157" s="5">
        <v>3.2176971666666669</v>
      </c>
      <c r="L157" s="6">
        <f t="shared" si="4"/>
        <v>1.1252913583333326</v>
      </c>
      <c r="M157" s="6">
        <f t="shared" si="5"/>
        <v>1.8601539999999992</v>
      </c>
    </row>
    <row r="158" spans="1:13" x14ac:dyDescent="0.3">
      <c r="A158" s="4" t="s">
        <v>476</v>
      </c>
      <c r="B158" s="4">
        <v>7</v>
      </c>
      <c r="C158" s="4">
        <v>37848597</v>
      </c>
      <c r="D158" s="4">
        <v>37900401</v>
      </c>
      <c r="E158" s="4">
        <v>1.3326840499999999E-2</v>
      </c>
      <c r="F158" s="4" t="s">
        <v>477</v>
      </c>
      <c r="G158" s="4" t="s">
        <v>478</v>
      </c>
      <c r="H158" s="5">
        <v>0.5992575450833334</v>
      </c>
      <c r="I158" s="5">
        <v>-1.059913125</v>
      </c>
      <c r="J158" s="5">
        <v>2.2370709166666667</v>
      </c>
      <c r="K158" s="5">
        <v>-0.90063176999999994</v>
      </c>
      <c r="L158" s="6">
        <f t="shared" si="4"/>
        <v>1.6591706700833333</v>
      </c>
      <c r="M158" s="6">
        <f t="shared" si="5"/>
        <v>3.1377026866666666</v>
      </c>
    </row>
    <row r="159" spans="1:13" x14ac:dyDescent="0.3">
      <c r="A159" s="4" t="s">
        <v>479</v>
      </c>
      <c r="B159" s="4">
        <v>7</v>
      </c>
      <c r="C159" s="4">
        <v>38239580</v>
      </c>
      <c r="D159" s="4">
        <v>38368091</v>
      </c>
      <c r="E159" s="4">
        <v>4.9897856999999997E-2</v>
      </c>
      <c r="F159" s="4" t="s">
        <v>480</v>
      </c>
      <c r="G159" s="4" t="s">
        <v>481</v>
      </c>
      <c r="H159" s="5">
        <v>2.3058353066666659</v>
      </c>
      <c r="I159" s="5">
        <v>0.53123503117499993</v>
      </c>
      <c r="J159" s="5">
        <v>3.8046791166666671</v>
      </c>
      <c r="K159" s="5">
        <v>0.78500983666666668</v>
      </c>
      <c r="L159" s="6">
        <f t="shared" si="4"/>
        <v>1.7746002754916659</v>
      </c>
      <c r="M159" s="6">
        <f t="shared" si="5"/>
        <v>3.0196692800000005</v>
      </c>
    </row>
    <row r="160" spans="1:13" x14ac:dyDescent="0.3">
      <c r="A160" s="4" t="s">
        <v>482</v>
      </c>
      <c r="B160" s="4">
        <v>7</v>
      </c>
      <c r="C160" s="4">
        <v>38343894</v>
      </c>
      <c r="D160" s="4">
        <v>38350022</v>
      </c>
      <c r="E160" s="4">
        <v>1.3861043E-2</v>
      </c>
      <c r="F160" s="4" t="s">
        <v>483</v>
      </c>
      <c r="G160" s="4" t="s">
        <v>484</v>
      </c>
      <c r="H160" s="5">
        <v>1.557461079583333</v>
      </c>
      <c r="I160" s="5">
        <v>-0.21973040124999993</v>
      </c>
      <c r="J160" s="5">
        <v>2.9793838166666666</v>
      </c>
      <c r="K160" s="5">
        <v>0.80996120000000005</v>
      </c>
      <c r="L160" s="6">
        <f t="shared" si="4"/>
        <v>1.7771914808333329</v>
      </c>
      <c r="M160" s="6">
        <f t="shared" si="5"/>
        <v>2.1694226166666666</v>
      </c>
    </row>
    <row r="161" spans="1:13" x14ac:dyDescent="0.3">
      <c r="A161" s="4" t="s">
        <v>485</v>
      </c>
      <c r="B161" s="4">
        <v>7</v>
      </c>
      <c r="C161" s="4">
        <v>38358512</v>
      </c>
      <c r="D161" s="4">
        <v>38359162</v>
      </c>
      <c r="E161" s="4">
        <v>1.9491265000000001E-2</v>
      </c>
      <c r="F161" s="4" t="s">
        <v>486</v>
      </c>
      <c r="G161" s="4" t="s">
        <v>487</v>
      </c>
      <c r="H161" s="5">
        <v>0.5914084270833333</v>
      </c>
      <c r="I161" s="5">
        <v>-1.2319424137499999</v>
      </c>
      <c r="J161" s="5">
        <v>2.0002067733333333</v>
      </c>
      <c r="K161" s="5">
        <v>-0.60781911</v>
      </c>
      <c r="L161" s="6">
        <f t="shared" si="4"/>
        <v>1.8233508408333332</v>
      </c>
      <c r="M161" s="6">
        <f t="shared" si="5"/>
        <v>2.6080258833333332</v>
      </c>
    </row>
    <row r="162" spans="1:13" x14ac:dyDescent="0.3">
      <c r="A162" s="4" t="s">
        <v>488</v>
      </c>
      <c r="B162" s="4">
        <v>7</v>
      </c>
      <c r="C162" s="4">
        <v>38367586</v>
      </c>
      <c r="D162" s="4">
        <v>38368169</v>
      </c>
      <c r="E162" s="4">
        <v>4.381558E-2</v>
      </c>
      <c r="F162" s="4" t="s">
        <v>489</v>
      </c>
      <c r="G162" s="4" t="s">
        <v>490</v>
      </c>
      <c r="H162" s="5">
        <v>-7.1090422083333368E-2</v>
      </c>
      <c r="I162" s="5">
        <v>-1.7402608875000001</v>
      </c>
      <c r="J162" s="5">
        <v>1.0899942083333334</v>
      </c>
      <c r="K162" s="5">
        <v>-1.0848121433333333</v>
      </c>
      <c r="L162" s="6">
        <f t="shared" si="4"/>
        <v>1.6691704654166668</v>
      </c>
      <c r="M162" s="6">
        <f t="shared" si="5"/>
        <v>2.1748063516666667</v>
      </c>
    </row>
    <row r="163" spans="1:13" x14ac:dyDescent="0.3">
      <c r="A163" s="4" t="s">
        <v>491</v>
      </c>
      <c r="B163" s="4">
        <v>7</v>
      </c>
      <c r="C163" s="4">
        <v>50304124</v>
      </c>
      <c r="D163" s="4">
        <v>50405101</v>
      </c>
      <c r="E163" s="4">
        <v>2.8459372E-2</v>
      </c>
      <c r="F163" s="4" t="s">
        <v>492</v>
      </c>
      <c r="G163" s="4" t="s">
        <v>493</v>
      </c>
      <c r="H163" s="5">
        <v>3.4412453958333331</v>
      </c>
      <c r="I163" s="5">
        <v>2.4101412624999998</v>
      </c>
      <c r="J163" s="5">
        <v>4.1859015666666659</v>
      </c>
      <c r="K163" s="5">
        <v>2.4847136000000001</v>
      </c>
      <c r="L163" s="6">
        <f t="shared" si="4"/>
        <v>1.0311041333333333</v>
      </c>
      <c r="M163" s="6">
        <f t="shared" si="5"/>
        <v>1.7011879666666658</v>
      </c>
    </row>
    <row r="164" spans="1:13" x14ac:dyDescent="0.3">
      <c r="A164" s="4" t="s">
        <v>494</v>
      </c>
      <c r="B164" s="4">
        <v>7</v>
      </c>
      <c r="C164" s="4">
        <v>87503633</v>
      </c>
      <c r="D164" s="4">
        <v>87713323</v>
      </c>
      <c r="E164" s="4">
        <v>1.9995580999999998E-2</v>
      </c>
      <c r="F164" s="4" t="s">
        <v>495</v>
      </c>
      <c r="G164" s="4" t="s">
        <v>496</v>
      </c>
      <c r="H164" s="5">
        <v>3.1870553266666666</v>
      </c>
      <c r="I164" s="5">
        <v>1.9831914875000001</v>
      </c>
      <c r="J164" s="5">
        <v>4.3241523833333337</v>
      </c>
      <c r="K164" s="5">
        <v>2.1816429999999998</v>
      </c>
      <c r="L164" s="6">
        <f t="shared" si="4"/>
        <v>1.2038638391666665</v>
      </c>
      <c r="M164" s="6">
        <f t="shared" si="5"/>
        <v>2.142509383333334</v>
      </c>
    </row>
    <row r="165" spans="1:13" x14ac:dyDescent="0.3">
      <c r="A165" s="4" t="s">
        <v>497</v>
      </c>
      <c r="B165" s="4">
        <v>7</v>
      </c>
      <c r="C165" s="4">
        <v>100620416</v>
      </c>
      <c r="D165" s="4">
        <v>100642779</v>
      </c>
      <c r="E165" s="4">
        <v>1.567141E-2</v>
      </c>
      <c r="F165" s="4" t="s">
        <v>498</v>
      </c>
      <c r="G165" s="4" t="s">
        <v>499</v>
      </c>
      <c r="H165" s="5">
        <v>-0.16067870879166665</v>
      </c>
      <c r="I165" s="5">
        <v>0.74659852250000003</v>
      </c>
      <c r="J165" s="5">
        <v>7.5444897999999982E-2</v>
      </c>
      <c r="K165" s="5">
        <v>-0.17966808333333337</v>
      </c>
      <c r="L165" s="6">
        <f t="shared" si="4"/>
        <v>-0.90727723129166671</v>
      </c>
      <c r="M165" s="6">
        <f t="shared" si="5"/>
        <v>0.25511298133333338</v>
      </c>
    </row>
    <row r="166" spans="1:13" x14ac:dyDescent="0.3">
      <c r="A166" s="4" t="s">
        <v>500</v>
      </c>
      <c r="B166" s="4">
        <v>7</v>
      </c>
      <c r="C166" s="4">
        <v>103471784</v>
      </c>
      <c r="D166" s="4">
        <v>103989516</v>
      </c>
      <c r="E166" s="4">
        <v>4.0995723999999997E-2</v>
      </c>
      <c r="F166" s="4" t="s">
        <v>501</v>
      </c>
      <c r="G166" s="4" t="s">
        <v>502</v>
      </c>
      <c r="H166" s="5">
        <v>3.4077647883333331</v>
      </c>
      <c r="I166" s="5">
        <v>3.9621663500000004</v>
      </c>
      <c r="J166" s="5">
        <v>2.7692186166666666</v>
      </c>
      <c r="K166" s="5">
        <v>3.8113503666666664</v>
      </c>
      <c r="L166" s="6">
        <f t="shared" si="4"/>
        <v>-0.55440156166666732</v>
      </c>
      <c r="M166" s="6">
        <f t="shared" si="5"/>
        <v>-1.0421317499999998</v>
      </c>
    </row>
    <row r="167" spans="1:13" x14ac:dyDescent="0.3">
      <c r="A167" s="4" t="s">
        <v>503</v>
      </c>
      <c r="B167" s="4">
        <v>7</v>
      </c>
      <c r="C167" s="4">
        <v>106865278</v>
      </c>
      <c r="D167" s="4">
        <v>106907145</v>
      </c>
      <c r="E167" s="4">
        <v>4.0078780000000001E-2</v>
      </c>
      <c r="F167" s="4" t="s">
        <v>504</v>
      </c>
      <c r="G167" s="4" t="s">
        <v>505</v>
      </c>
      <c r="H167" s="5">
        <v>4.0903013916666673</v>
      </c>
      <c r="I167" s="5">
        <v>2.9428647125000005</v>
      </c>
      <c r="J167" s="5">
        <v>4.8208117499999998</v>
      </c>
      <c r="K167" s="5">
        <v>3.120908333333333</v>
      </c>
      <c r="L167" s="6">
        <f t="shared" si="4"/>
        <v>1.1474366791666668</v>
      </c>
      <c r="M167" s="6">
        <f t="shared" si="5"/>
        <v>1.6999034166666669</v>
      </c>
    </row>
    <row r="168" spans="1:13" x14ac:dyDescent="0.3">
      <c r="A168" s="4" t="s">
        <v>506</v>
      </c>
      <c r="B168" s="4">
        <v>7</v>
      </c>
      <c r="C168" s="4">
        <v>122318425</v>
      </c>
      <c r="D168" s="4">
        <v>122886759</v>
      </c>
      <c r="E168" s="4">
        <v>3.0690951000000001E-2</v>
      </c>
      <c r="F168" s="4" t="s">
        <v>507</v>
      </c>
      <c r="G168" s="4" t="s">
        <v>508</v>
      </c>
      <c r="H168" s="5">
        <v>4.8127243791666672</v>
      </c>
      <c r="I168" s="5">
        <v>3.5321986499999998</v>
      </c>
      <c r="J168" s="5">
        <v>5.2543053500000001</v>
      </c>
      <c r="K168" s="5">
        <v>5.1118499333333327</v>
      </c>
      <c r="L168" s="6">
        <f t="shared" si="4"/>
        <v>1.2805257291666674</v>
      </c>
      <c r="M168" s="6">
        <f t="shared" si="5"/>
        <v>0.14245541666666739</v>
      </c>
    </row>
    <row r="169" spans="1:13" x14ac:dyDescent="0.3">
      <c r="A169" s="4" t="s">
        <v>509</v>
      </c>
      <c r="B169" s="4">
        <v>7</v>
      </c>
      <c r="C169" s="4">
        <v>129144892</v>
      </c>
      <c r="D169" s="4">
        <v>129169697</v>
      </c>
      <c r="E169" s="4">
        <v>1.6213930000000001E-2</v>
      </c>
      <c r="F169" s="4" t="s">
        <v>510</v>
      </c>
      <c r="G169" s="4" t="s">
        <v>511</v>
      </c>
      <c r="H169" s="5">
        <v>2.1594561291666663</v>
      </c>
      <c r="I169" s="5">
        <v>0.94674150875000007</v>
      </c>
      <c r="J169" s="5">
        <v>2.4330266666666667</v>
      </c>
      <c r="K169" s="5">
        <v>2.0878755333333334</v>
      </c>
      <c r="L169" s="6">
        <f t="shared" si="4"/>
        <v>1.2127146204166661</v>
      </c>
      <c r="M169" s="6">
        <f t="shared" si="5"/>
        <v>0.34515113333333325</v>
      </c>
    </row>
    <row r="170" spans="1:13" x14ac:dyDescent="0.3">
      <c r="A170" s="4" t="s">
        <v>512</v>
      </c>
      <c r="B170" s="4">
        <v>7</v>
      </c>
      <c r="C170" s="4">
        <v>142670740</v>
      </c>
      <c r="D170" s="4">
        <v>142793141</v>
      </c>
      <c r="E170" s="4">
        <v>2.5627948000000001E-2</v>
      </c>
      <c r="F170" s="4" t="s">
        <v>513</v>
      </c>
      <c r="G170" s="4" t="s">
        <v>514</v>
      </c>
      <c r="H170" s="5">
        <v>1.8197651516666669</v>
      </c>
      <c r="I170" s="5">
        <v>0.10478464675000004</v>
      </c>
      <c r="J170" s="5">
        <v>3.1733284833333335</v>
      </c>
      <c r="K170" s="5">
        <v>0.79001808666666662</v>
      </c>
      <c r="L170" s="6">
        <f t="shared" si="4"/>
        <v>1.7149805049166669</v>
      </c>
      <c r="M170" s="6">
        <f t="shared" si="5"/>
        <v>2.3833103966666669</v>
      </c>
    </row>
    <row r="171" spans="1:13" x14ac:dyDescent="0.3">
      <c r="A171" s="4" t="s">
        <v>515</v>
      </c>
      <c r="B171" s="4">
        <v>7</v>
      </c>
      <c r="C171" s="4">
        <v>142670777</v>
      </c>
      <c r="D171" s="4">
        <v>142802748</v>
      </c>
      <c r="E171" s="4">
        <v>3.0888539E-2</v>
      </c>
      <c r="F171" s="4" t="s">
        <v>516</v>
      </c>
      <c r="G171" s="4" t="s">
        <v>517</v>
      </c>
      <c r="H171" s="5">
        <v>3.1284469958333339</v>
      </c>
      <c r="I171" s="5">
        <v>1.9881625362499997</v>
      </c>
      <c r="J171" s="5">
        <v>4.2771056666666665</v>
      </c>
      <c r="K171" s="5">
        <v>2.2235759000000002</v>
      </c>
      <c r="L171" s="6">
        <f t="shared" si="4"/>
        <v>1.1402844595833341</v>
      </c>
      <c r="M171" s="6">
        <f t="shared" si="5"/>
        <v>2.0535297666666663</v>
      </c>
    </row>
    <row r="172" spans="1:13" x14ac:dyDescent="0.3">
      <c r="A172" s="4" t="s">
        <v>518</v>
      </c>
      <c r="B172" s="4">
        <v>7</v>
      </c>
      <c r="C172" s="4">
        <v>142720660</v>
      </c>
      <c r="D172" s="4">
        <v>142793255</v>
      </c>
      <c r="E172" s="4">
        <v>2.7475359000000001E-2</v>
      </c>
      <c r="F172" s="4" t="s">
        <v>519</v>
      </c>
      <c r="G172" s="4" t="s">
        <v>520</v>
      </c>
      <c r="H172" s="5">
        <v>1.8555434960416666</v>
      </c>
      <c r="I172" s="5">
        <v>0.11700505787500004</v>
      </c>
      <c r="J172" s="5">
        <v>3.109591</v>
      </c>
      <c r="K172" s="5">
        <v>0.92561223333333331</v>
      </c>
      <c r="L172" s="6">
        <f t="shared" si="4"/>
        <v>1.7385384381666666</v>
      </c>
      <c r="M172" s="6">
        <f t="shared" si="5"/>
        <v>2.1839787666666668</v>
      </c>
    </row>
    <row r="173" spans="1:13" x14ac:dyDescent="0.3">
      <c r="A173" s="4" t="s">
        <v>521</v>
      </c>
      <c r="B173" s="4">
        <v>7</v>
      </c>
      <c r="C173" s="4">
        <v>150514830</v>
      </c>
      <c r="D173" s="4">
        <v>150521073</v>
      </c>
      <c r="E173" s="4">
        <v>2.0893849999999999E-2</v>
      </c>
      <c r="F173" s="4" t="s">
        <v>522</v>
      </c>
      <c r="G173" s="4" t="s">
        <v>523</v>
      </c>
      <c r="H173" s="5">
        <v>2.7006032350000004</v>
      </c>
      <c r="I173" s="5">
        <v>1.6660876012500001</v>
      </c>
      <c r="J173" s="5">
        <v>3.7189900000000002</v>
      </c>
      <c r="K173" s="5">
        <v>2.1374773</v>
      </c>
      <c r="L173" s="6">
        <f t="shared" si="4"/>
        <v>1.0345156337500003</v>
      </c>
      <c r="M173" s="6">
        <f t="shared" si="5"/>
        <v>1.5815127000000002</v>
      </c>
    </row>
    <row r="174" spans="1:13" x14ac:dyDescent="0.3">
      <c r="A174" s="4" t="s">
        <v>524</v>
      </c>
      <c r="B174" s="4">
        <v>7</v>
      </c>
      <c r="C174" s="4">
        <v>150567277</v>
      </c>
      <c r="D174" s="4">
        <v>150573955</v>
      </c>
      <c r="E174" s="4">
        <v>3.8099643000000002E-2</v>
      </c>
      <c r="F174" s="4" t="s">
        <v>525</v>
      </c>
      <c r="G174" s="4" t="s">
        <v>526</v>
      </c>
      <c r="H174" s="5">
        <v>3.1917932375000002</v>
      </c>
      <c r="I174" s="5">
        <v>2.2234393249999997</v>
      </c>
      <c r="J174" s="5">
        <v>3.7349529333333336</v>
      </c>
      <c r="K174" s="5">
        <v>2.7658521999999999</v>
      </c>
      <c r="L174" s="6">
        <f t="shared" si="4"/>
        <v>0.96835391250000047</v>
      </c>
      <c r="M174" s="6">
        <f t="shared" si="5"/>
        <v>0.96910073333333369</v>
      </c>
    </row>
    <row r="175" spans="1:13" x14ac:dyDescent="0.3">
      <c r="A175" s="4" t="s">
        <v>527</v>
      </c>
      <c r="B175" s="4">
        <v>7</v>
      </c>
      <c r="C175" s="4">
        <v>150716557</v>
      </c>
      <c r="D175" s="4">
        <v>150750033</v>
      </c>
      <c r="E175" s="4">
        <v>2.0456715E-2</v>
      </c>
      <c r="F175" s="4" t="s">
        <v>528</v>
      </c>
      <c r="G175" s="4" t="s">
        <v>529</v>
      </c>
      <c r="H175" s="5">
        <v>3.4266490749999998</v>
      </c>
      <c r="I175" s="5">
        <v>2.1086626225000002</v>
      </c>
      <c r="J175" s="5">
        <v>4.1285835833333335</v>
      </c>
      <c r="K175" s="5">
        <v>3.1185011999999994</v>
      </c>
      <c r="L175" s="6">
        <f t="shared" si="4"/>
        <v>1.3179864524999996</v>
      </c>
      <c r="M175" s="6">
        <f t="shared" si="5"/>
        <v>1.0100823833333341</v>
      </c>
    </row>
    <row r="176" spans="1:13" x14ac:dyDescent="0.3">
      <c r="A176" s="4" t="s">
        <v>530</v>
      </c>
      <c r="B176" s="4">
        <v>8</v>
      </c>
      <c r="C176" s="4">
        <v>23190452</v>
      </c>
      <c r="D176" s="4">
        <v>23225126</v>
      </c>
      <c r="E176" s="4">
        <v>3.3888189999999999E-2</v>
      </c>
      <c r="F176" s="4" t="s">
        <v>531</v>
      </c>
      <c r="G176" s="4" t="s">
        <v>532</v>
      </c>
      <c r="H176" s="5">
        <v>1.9215238570833331</v>
      </c>
      <c r="I176" s="5">
        <v>0.36191695999999995</v>
      </c>
      <c r="J176" s="5">
        <v>2.8422808666666661</v>
      </c>
      <c r="K176" s="5">
        <v>1.9777332333333331</v>
      </c>
      <c r="L176" s="6">
        <f t="shared" si="4"/>
        <v>1.559606897083333</v>
      </c>
      <c r="M176" s="6">
        <f t="shared" si="5"/>
        <v>0.86454763333333307</v>
      </c>
    </row>
    <row r="177" spans="1:13" x14ac:dyDescent="0.3">
      <c r="A177" s="4" t="s">
        <v>533</v>
      </c>
      <c r="B177" s="4">
        <v>8</v>
      </c>
      <c r="C177" s="4">
        <v>24294040</v>
      </c>
      <c r="D177" s="4">
        <v>24359018</v>
      </c>
      <c r="E177" s="4">
        <v>1.77772E-2</v>
      </c>
      <c r="F177" s="4" t="s">
        <v>534</v>
      </c>
      <c r="G177" s="4" t="s">
        <v>535</v>
      </c>
      <c r="H177" s="5">
        <v>4.0415635458333323</v>
      </c>
      <c r="I177" s="5">
        <v>2.8252979499999999</v>
      </c>
      <c r="J177" s="5">
        <v>4.5664752833333333</v>
      </c>
      <c r="K177" s="5">
        <v>2.2909576999999999</v>
      </c>
      <c r="L177" s="6">
        <f t="shared" si="4"/>
        <v>1.2162655958333324</v>
      </c>
      <c r="M177" s="6">
        <f t="shared" si="5"/>
        <v>2.2755175833333334</v>
      </c>
    </row>
    <row r="178" spans="1:13" x14ac:dyDescent="0.3">
      <c r="A178" s="4" t="s">
        <v>536</v>
      </c>
      <c r="B178" s="4">
        <v>8</v>
      </c>
      <c r="C178" s="4">
        <v>27311482</v>
      </c>
      <c r="D178" s="4">
        <v>27459391</v>
      </c>
      <c r="E178" s="4">
        <v>1.9868371999999999E-2</v>
      </c>
      <c r="F178" s="4" t="s">
        <v>537</v>
      </c>
      <c r="G178" s="4" t="s">
        <v>538</v>
      </c>
      <c r="H178" s="5">
        <v>4.6426325708333334</v>
      </c>
      <c r="I178" s="5">
        <v>3.8374533249999998</v>
      </c>
      <c r="J178" s="5">
        <v>5.4044766499999994</v>
      </c>
      <c r="K178" s="5">
        <v>4.2431164666666668</v>
      </c>
      <c r="L178" s="6">
        <f t="shared" si="4"/>
        <v>0.80517924583333356</v>
      </c>
      <c r="M178" s="6">
        <f t="shared" si="5"/>
        <v>1.1613601833333327</v>
      </c>
    </row>
    <row r="179" spans="1:13" x14ac:dyDescent="0.3">
      <c r="A179" s="4" t="s">
        <v>539</v>
      </c>
      <c r="B179" s="4">
        <v>8</v>
      </c>
      <c r="C179" s="4">
        <v>28021964</v>
      </c>
      <c r="D179" s="4">
        <v>28083871</v>
      </c>
      <c r="E179" s="4">
        <v>1.8891959E-2</v>
      </c>
      <c r="F179" s="4" t="s">
        <v>540</v>
      </c>
      <c r="G179" s="4" t="s">
        <v>541</v>
      </c>
      <c r="H179" s="5">
        <v>0.3867167661625</v>
      </c>
      <c r="I179" s="5">
        <v>-1.5608805268750001</v>
      </c>
      <c r="J179" s="5">
        <v>2.0088995500000002</v>
      </c>
      <c r="K179" s="5">
        <v>-1.33544051</v>
      </c>
      <c r="L179" s="6">
        <f t="shared" si="4"/>
        <v>1.9475972930375001</v>
      </c>
      <c r="M179" s="6">
        <f t="shared" si="5"/>
        <v>3.3443400600000004</v>
      </c>
    </row>
    <row r="180" spans="1:13" x14ac:dyDescent="0.3">
      <c r="A180" s="4" t="s">
        <v>542</v>
      </c>
      <c r="B180" s="4">
        <v>8</v>
      </c>
      <c r="C180" s="4">
        <v>39902275</v>
      </c>
      <c r="D180" s="4">
        <v>39928444</v>
      </c>
      <c r="E180" s="4">
        <v>1.3039683999999999E-2</v>
      </c>
      <c r="F180" s="4" t="s">
        <v>543</v>
      </c>
      <c r="G180" s="4" t="s">
        <v>544</v>
      </c>
      <c r="H180" s="5">
        <v>2.7454488945833333</v>
      </c>
      <c r="I180" s="5">
        <v>0.58731503925000006</v>
      </c>
      <c r="J180" s="5">
        <v>4.2069226833333326</v>
      </c>
      <c r="K180" s="5">
        <v>2.1645854999999998</v>
      </c>
      <c r="L180" s="6">
        <f t="shared" si="4"/>
        <v>2.1581338553333334</v>
      </c>
      <c r="M180" s="6">
        <f t="shared" si="5"/>
        <v>2.0423371833333328</v>
      </c>
    </row>
    <row r="181" spans="1:13" x14ac:dyDescent="0.3">
      <c r="A181" s="4" t="s">
        <v>545</v>
      </c>
      <c r="B181" s="4">
        <v>8</v>
      </c>
      <c r="C181" s="4">
        <v>55879813</v>
      </c>
      <c r="D181" s="4">
        <v>56011381</v>
      </c>
      <c r="E181" s="4">
        <v>2.3147317000000001E-2</v>
      </c>
      <c r="F181" s="4" t="s">
        <v>546</v>
      </c>
      <c r="G181" s="4" t="s">
        <v>547</v>
      </c>
      <c r="H181" s="5">
        <v>4.3234994291666666</v>
      </c>
      <c r="I181" s="5">
        <v>3.5185747374999998</v>
      </c>
      <c r="J181" s="5">
        <v>4.9577240333333332</v>
      </c>
      <c r="K181" s="5">
        <v>4.0817639666666672</v>
      </c>
      <c r="L181" s="6">
        <f t="shared" si="4"/>
        <v>0.8049246916666668</v>
      </c>
      <c r="M181" s="6">
        <f t="shared" si="5"/>
        <v>0.87596006666666604</v>
      </c>
    </row>
    <row r="182" spans="1:13" x14ac:dyDescent="0.3">
      <c r="A182" s="4" t="s">
        <v>548</v>
      </c>
      <c r="B182" s="4">
        <v>8</v>
      </c>
      <c r="C182" s="4">
        <v>107249482</v>
      </c>
      <c r="D182" s="4">
        <v>107498055</v>
      </c>
      <c r="E182" s="4">
        <v>1.74237E-2</v>
      </c>
      <c r="F182" s="4" t="s">
        <v>549</v>
      </c>
      <c r="G182" s="4" t="s">
        <v>550</v>
      </c>
      <c r="H182" s="5">
        <v>1.8603236736250002</v>
      </c>
      <c r="I182" s="5">
        <v>2.1690118625000001</v>
      </c>
      <c r="J182" s="5">
        <v>0.82721174666666653</v>
      </c>
      <c r="K182" s="5">
        <v>1.3084908733333334</v>
      </c>
      <c r="L182" s="6">
        <f t="shared" si="4"/>
        <v>-0.30868818887499994</v>
      </c>
      <c r="M182" s="6">
        <f t="shared" si="5"/>
        <v>-0.48127912666666683</v>
      </c>
    </row>
    <row r="183" spans="1:13" x14ac:dyDescent="0.3">
      <c r="A183" s="4" t="s">
        <v>551</v>
      </c>
      <c r="B183" s="4">
        <v>8</v>
      </c>
      <c r="C183" s="4">
        <v>112222928</v>
      </c>
      <c r="D183" s="4">
        <v>113437099</v>
      </c>
      <c r="E183" s="4">
        <v>2.477062E-2</v>
      </c>
      <c r="F183" s="4" t="s">
        <v>552</v>
      </c>
      <c r="G183" s="4" t="s">
        <v>553</v>
      </c>
      <c r="H183" s="5">
        <v>-0.14566973812499998</v>
      </c>
      <c r="I183" s="5">
        <v>3.3735180000000031E-2</v>
      </c>
      <c r="J183" s="5">
        <v>-0.92433331666666663</v>
      </c>
      <c r="K183" s="5">
        <v>-1.2517782833333333</v>
      </c>
      <c r="L183" s="6">
        <f t="shared" si="4"/>
        <v>-0.17940491812500001</v>
      </c>
      <c r="M183" s="6">
        <f t="shared" si="5"/>
        <v>0.32744496666666667</v>
      </c>
    </row>
    <row r="184" spans="1:13" x14ac:dyDescent="0.3">
      <c r="A184" s="4" t="s">
        <v>554</v>
      </c>
      <c r="B184" s="4">
        <v>8</v>
      </c>
      <c r="C184" s="4">
        <v>118189455</v>
      </c>
      <c r="D184" s="4">
        <v>118621995</v>
      </c>
      <c r="E184" s="4">
        <v>1.8378756999999999E-2</v>
      </c>
      <c r="F184" s="4" t="s">
        <v>555</v>
      </c>
      <c r="G184" s="4" t="s">
        <v>556</v>
      </c>
      <c r="H184" s="5">
        <v>-0.31746862333333331</v>
      </c>
      <c r="I184" s="5">
        <v>-1.8790304124999999</v>
      </c>
      <c r="J184" s="5">
        <v>0.53828005499999998</v>
      </c>
      <c r="K184" s="5">
        <v>-0.81315606666666662</v>
      </c>
      <c r="L184" s="6">
        <f t="shared" si="4"/>
        <v>1.5615617891666667</v>
      </c>
      <c r="M184" s="6">
        <f t="shared" si="5"/>
        <v>1.3514361216666666</v>
      </c>
    </row>
    <row r="185" spans="1:13" x14ac:dyDescent="0.3">
      <c r="A185" s="4" t="s">
        <v>557</v>
      </c>
      <c r="B185" s="4">
        <v>8</v>
      </c>
      <c r="C185" s="4">
        <v>132685007</v>
      </c>
      <c r="D185" s="4">
        <v>132760712</v>
      </c>
      <c r="E185" s="4">
        <v>1.6538081999999999E-2</v>
      </c>
      <c r="F185" s="4" t="s">
        <v>558</v>
      </c>
      <c r="G185" s="4" t="s">
        <v>559</v>
      </c>
      <c r="H185" s="5">
        <v>1.9128161187500001</v>
      </c>
      <c r="I185" s="5">
        <v>0.27932359250000005</v>
      </c>
      <c r="J185" s="5">
        <v>2.9015727666666664</v>
      </c>
      <c r="K185" s="5">
        <v>2.4345763000000002</v>
      </c>
      <c r="L185" s="6">
        <f t="shared" si="4"/>
        <v>1.63349252625</v>
      </c>
      <c r="M185" s="6">
        <f t="shared" si="5"/>
        <v>0.46699646666666617</v>
      </c>
    </row>
    <row r="186" spans="1:13" x14ac:dyDescent="0.3">
      <c r="A186" s="4" t="s">
        <v>560</v>
      </c>
      <c r="B186" s="4">
        <v>9</v>
      </c>
      <c r="C186" s="4">
        <v>4985033</v>
      </c>
      <c r="D186" s="4">
        <v>5128183</v>
      </c>
      <c r="E186" s="4">
        <v>4.3839756000000001E-2</v>
      </c>
      <c r="F186" s="4" t="s">
        <v>561</v>
      </c>
      <c r="G186" s="4" t="s">
        <v>562</v>
      </c>
      <c r="H186" s="5">
        <v>5.2154325874999996</v>
      </c>
      <c r="I186" s="5">
        <v>4.5307996125000001</v>
      </c>
      <c r="J186" s="5">
        <v>5.4884918833333343</v>
      </c>
      <c r="K186" s="5">
        <v>4.7389451333333339</v>
      </c>
      <c r="L186" s="6">
        <f t="shared" si="4"/>
        <v>0.68463297499999953</v>
      </c>
      <c r="M186" s="6">
        <f t="shared" si="5"/>
        <v>0.74954675000000037</v>
      </c>
    </row>
    <row r="187" spans="1:13" x14ac:dyDescent="0.3">
      <c r="A187" s="4" t="s">
        <v>563</v>
      </c>
      <c r="B187" s="4">
        <v>9</v>
      </c>
      <c r="C187" s="4">
        <v>5450503</v>
      </c>
      <c r="D187" s="4">
        <v>5470566</v>
      </c>
      <c r="E187" s="4">
        <v>1.7473638E-2</v>
      </c>
      <c r="F187" s="4" t="s">
        <v>564</v>
      </c>
      <c r="G187" s="4" t="s">
        <v>565</v>
      </c>
      <c r="H187" s="5">
        <v>2.1379699654166662</v>
      </c>
      <c r="I187" s="5">
        <v>-0.37009024000000001</v>
      </c>
      <c r="J187" s="5">
        <v>3.5420069999999995</v>
      </c>
      <c r="K187" s="5">
        <v>1.1607094166666665</v>
      </c>
      <c r="L187" s="6">
        <f t="shared" si="4"/>
        <v>2.5080602054166663</v>
      </c>
      <c r="M187" s="6">
        <f t="shared" si="5"/>
        <v>2.3812975833333327</v>
      </c>
    </row>
    <row r="188" spans="1:13" x14ac:dyDescent="0.3">
      <c r="A188" s="4" t="s">
        <v>566</v>
      </c>
      <c r="B188" s="4">
        <v>9</v>
      </c>
      <c r="C188" s="4">
        <v>68705414</v>
      </c>
      <c r="D188" s="4">
        <v>69009176</v>
      </c>
      <c r="E188" s="4">
        <v>1.9995580999999998E-2</v>
      </c>
      <c r="F188" s="4" t="s">
        <v>567</v>
      </c>
      <c r="G188" s="4" t="s">
        <v>568</v>
      </c>
      <c r="H188" s="5">
        <v>2.0604896604166671</v>
      </c>
      <c r="I188" s="5">
        <v>0.69767487250000015</v>
      </c>
      <c r="J188" s="5">
        <v>2.5193903883333335</v>
      </c>
      <c r="K188" s="5">
        <v>1.2016419833333334</v>
      </c>
      <c r="L188" s="6">
        <f t="shared" si="4"/>
        <v>1.362814787916667</v>
      </c>
      <c r="M188" s="6">
        <f t="shared" si="5"/>
        <v>1.3177484050000001</v>
      </c>
    </row>
    <row r="189" spans="1:13" x14ac:dyDescent="0.3">
      <c r="A189" s="4" t="s">
        <v>569</v>
      </c>
      <c r="B189" s="4">
        <v>9</v>
      </c>
      <c r="C189" s="4">
        <v>76611376</v>
      </c>
      <c r="D189" s="4">
        <v>76906087</v>
      </c>
      <c r="E189" s="4">
        <v>2.1820616000000001E-2</v>
      </c>
      <c r="F189" s="4" t="s">
        <v>570</v>
      </c>
      <c r="G189" s="4" t="s">
        <v>571</v>
      </c>
      <c r="H189" s="5">
        <v>4.3083385458333341</v>
      </c>
      <c r="I189" s="5">
        <v>2.6619239375000001</v>
      </c>
      <c r="J189" s="5">
        <v>5.053758433333333</v>
      </c>
      <c r="K189" s="5">
        <v>5.6898445666666673</v>
      </c>
      <c r="L189" s="6">
        <f t="shared" si="4"/>
        <v>1.646414608333334</v>
      </c>
      <c r="M189" s="6">
        <f t="shared" si="5"/>
        <v>-0.6360861333333343</v>
      </c>
    </row>
    <row r="190" spans="1:13" x14ac:dyDescent="0.3">
      <c r="A190" s="4" t="s">
        <v>572</v>
      </c>
      <c r="B190" s="4">
        <v>9</v>
      </c>
      <c r="C190" s="4">
        <v>133030675</v>
      </c>
      <c r="D190" s="4">
        <v>133058503</v>
      </c>
      <c r="E190" s="4">
        <v>4.3839756000000001E-2</v>
      </c>
      <c r="F190" s="4" t="s">
        <v>573</v>
      </c>
      <c r="G190" s="4" t="s">
        <v>574</v>
      </c>
      <c r="H190" s="5">
        <v>3.9002363</v>
      </c>
      <c r="I190" s="5">
        <v>4.2723838499999998</v>
      </c>
      <c r="J190" s="5">
        <v>4.0328497333333333</v>
      </c>
      <c r="K190" s="5">
        <v>4.2471481000000004</v>
      </c>
      <c r="L190" s="6">
        <f t="shared" si="4"/>
        <v>-0.37214754999999977</v>
      </c>
      <c r="M190" s="6">
        <f t="shared" si="5"/>
        <v>-0.21429836666666713</v>
      </c>
    </row>
    <row r="191" spans="1:13" x14ac:dyDescent="0.3">
      <c r="A191" s="4" t="s">
        <v>575</v>
      </c>
      <c r="B191" s="4">
        <v>9</v>
      </c>
      <c r="C191" s="4">
        <v>136327476</v>
      </c>
      <c r="D191" s="4">
        <v>136359605</v>
      </c>
      <c r="E191" s="4">
        <v>2.2508133E-2</v>
      </c>
      <c r="F191" s="4" t="s">
        <v>576</v>
      </c>
      <c r="G191" s="4" t="s">
        <v>577</v>
      </c>
      <c r="H191" s="5">
        <v>2.991491391666667</v>
      </c>
      <c r="I191" s="5">
        <v>3.6900304749999999</v>
      </c>
      <c r="J191" s="5">
        <v>2.2366808833333334</v>
      </c>
      <c r="K191" s="5">
        <v>3.7840520666666664</v>
      </c>
      <c r="L191" s="6">
        <f t="shared" si="4"/>
        <v>-0.69853908333333292</v>
      </c>
      <c r="M191" s="6">
        <f t="shared" si="5"/>
        <v>-1.547371183333333</v>
      </c>
    </row>
    <row r="192" spans="1:13" x14ac:dyDescent="0.3">
      <c r="A192" s="4" t="s">
        <v>578</v>
      </c>
      <c r="B192" s="4">
        <v>9</v>
      </c>
      <c r="C192" s="4">
        <v>137554904</v>
      </c>
      <c r="D192" s="4">
        <v>137578935</v>
      </c>
      <c r="E192" s="4">
        <v>4.3839756000000001E-2</v>
      </c>
      <c r="F192" s="4" t="s">
        <v>579</v>
      </c>
      <c r="G192" s="4" t="s">
        <v>580</v>
      </c>
      <c r="H192" s="5">
        <v>3.0799085083333337</v>
      </c>
      <c r="I192" s="5">
        <v>3.3839726875</v>
      </c>
      <c r="J192" s="5">
        <v>3.1102157333333333</v>
      </c>
      <c r="K192" s="5">
        <v>3.4016058999999998</v>
      </c>
      <c r="L192" s="6">
        <f t="shared" si="4"/>
        <v>-0.30406417916666628</v>
      </c>
      <c r="M192" s="6">
        <f t="shared" si="5"/>
        <v>-0.29139016666666651</v>
      </c>
    </row>
    <row r="193" spans="1:13" x14ac:dyDescent="0.3">
      <c r="A193" s="4" t="s">
        <v>581</v>
      </c>
      <c r="B193" s="4">
        <v>10</v>
      </c>
      <c r="C193" s="4">
        <v>1049538</v>
      </c>
      <c r="D193" s="4">
        <v>1132297</v>
      </c>
      <c r="E193" s="4">
        <v>4.5572915000000004E-3</v>
      </c>
      <c r="F193" s="4" t="s">
        <v>582</v>
      </c>
      <c r="G193" s="4" t="s">
        <v>583</v>
      </c>
      <c r="H193" s="5">
        <v>3.8953929499999997</v>
      </c>
      <c r="I193" s="5">
        <v>3.2931293000000004</v>
      </c>
      <c r="J193" s="5">
        <v>4.2212351666666663</v>
      </c>
      <c r="K193" s="5">
        <v>3.6645419666666665</v>
      </c>
      <c r="L193" s="6">
        <f t="shared" si="4"/>
        <v>0.60226364999999937</v>
      </c>
      <c r="M193" s="6">
        <f t="shared" si="5"/>
        <v>0.55669319999999978</v>
      </c>
    </row>
    <row r="194" spans="1:13" x14ac:dyDescent="0.3">
      <c r="A194" s="4" t="s">
        <v>584</v>
      </c>
      <c r="B194" s="4">
        <v>10</v>
      </c>
      <c r="C194" s="4">
        <v>3137728</v>
      </c>
      <c r="D194" s="4">
        <v>3172841</v>
      </c>
      <c r="E194" s="4">
        <v>3.0690951000000001E-2</v>
      </c>
      <c r="F194" s="4" t="s">
        <v>585</v>
      </c>
      <c r="G194" s="4" t="s">
        <v>586</v>
      </c>
      <c r="H194" s="5">
        <v>5.66375385</v>
      </c>
      <c r="I194" s="5">
        <v>5.2730266874999998</v>
      </c>
      <c r="J194" s="5">
        <v>5.8793453666666666</v>
      </c>
      <c r="K194" s="5">
        <v>5.7404302333333339</v>
      </c>
      <c r="L194" s="6">
        <f t="shared" si="4"/>
        <v>0.39072716250000017</v>
      </c>
      <c r="M194" s="6">
        <f t="shared" si="5"/>
        <v>0.13891513333333272</v>
      </c>
    </row>
    <row r="195" spans="1:13" x14ac:dyDescent="0.3">
      <c r="A195" s="4" t="s">
        <v>587</v>
      </c>
      <c r="B195" s="4">
        <v>10</v>
      </c>
      <c r="C195" s="4">
        <v>3141632</v>
      </c>
      <c r="D195" s="4">
        <v>3167972</v>
      </c>
      <c r="E195" s="4">
        <v>1.9326304999999998E-2</v>
      </c>
      <c r="F195" s="4" t="s">
        <v>588</v>
      </c>
      <c r="G195" s="4" t="s">
        <v>589</v>
      </c>
      <c r="H195" s="5">
        <v>3.1808338750000011</v>
      </c>
      <c r="I195" s="5">
        <v>2.6516414624999998</v>
      </c>
      <c r="J195" s="5">
        <v>3.5665141999999999</v>
      </c>
      <c r="K195" s="5">
        <v>3.1164653333333336</v>
      </c>
      <c r="L195" s="6">
        <f t="shared" si="4"/>
        <v>0.52919241250000137</v>
      </c>
      <c r="M195" s="6">
        <f t="shared" si="5"/>
        <v>0.45004886666666621</v>
      </c>
    </row>
    <row r="196" spans="1:13" x14ac:dyDescent="0.3">
      <c r="A196" s="4" t="s">
        <v>590</v>
      </c>
      <c r="B196" s="4">
        <v>10</v>
      </c>
      <c r="C196" s="4">
        <v>5937569</v>
      </c>
      <c r="D196" s="4">
        <v>5978187</v>
      </c>
      <c r="E196" s="4">
        <v>2.9959389999999999E-2</v>
      </c>
      <c r="F196" s="4" t="s">
        <v>591</v>
      </c>
      <c r="G196" s="4" t="s">
        <v>592</v>
      </c>
      <c r="H196" s="5">
        <v>2.0083084729166667</v>
      </c>
      <c r="I196" s="5">
        <v>0.66230143125000007</v>
      </c>
      <c r="J196" s="5">
        <v>2.9553388333333337</v>
      </c>
      <c r="K196" s="5">
        <v>1.8309703666666666</v>
      </c>
      <c r="L196" s="6">
        <f t="shared" si="4"/>
        <v>1.3460070416666667</v>
      </c>
      <c r="M196" s="6">
        <f t="shared" si="5"/>
        <v>1.1243684666666671</v>
      </c>
    </row>
    <row r="197" spans="1:13" x14ac:dyDescent="0.3">
      <c r="A197" s="4" t="s">
        <v>593</v>
      </c>
      <c r="B197" s="4">
        <v>10</v>
      </c>
      <c r="C197" s="4">
        <v>6427143</v>
      </c>
      <c r="D197" s="4">
        <v>6580301</v>
      </c>
      <c r="E197" s="4">
        <v>2.0144254E-2</v>
      </c>
      <c r="F197" s="4" t="s">
        <v>594</v>
      </c>
      <c r="G197" s="4" t="s">
        <v>595</v>
      </c>
      <c r="H197" s="5">
        <v>2.4827587250000005</v>
      </c>
      <c r="I197" s="5">
        <v>1.3333619400000001</v>
      </c>
      <c r="J197" s="5">
        <v>3.9326213166666668</v>
      </c>
      <c r="K197" s="5">
        <v>1.1800734066666667</v>
      </c>
      <c r="L197" s="6">
        <f t="shared" ref="L197:L260" si="6">H197-I197</f>
        <v>1.1493967850000004</v>
      </c>
      <c r="M197" s="6">
        <f t="shared" ref="M197:M260" si="7">J197-K197</f>
        <v>2.7525479100000001</v>
      </c>
    </row>
    <row r="198" spans="1:13" x14ac:dyDescent="0.3">
      <c r="A198" s="4" t="s">
        <v>596</v>
      </c>
      <c r="B198" s="4">
        <v>10</v>
      </c>
      <c r="C198" s="4">
        <v>48684876</v>
      </c>
      <c r="D198" s="4">
        <v>48982956</v>
      </c>
      <c r="E198" s="4">
        <v>4.1277990000000001E-2</v>
      </c>
      <c r="F198" s="4" t="s">
        <v>597</v>
      </c>
      <c r="G198" s="4" t="s">
        <v>598</v>
      </c>
      <c r="H198" s="5">
        <v>5.4558872083333334</v>
      </c>
      <c r="I198" s="5">
        <v>4.3212513624999991</v>
      </c>
      <c r="J198" s="5">
        <v>6.1539529666666661</v>
      </c>
      <c r="K198" s="5">
        <v>4.6969632333333333</v>
      </c>
      <c r="L198" s="6">
        <f t="shared" si="6"/>
        <v>1.1346358458333343</v>
      </c>
      <c r="M198" s="6">
        <f t="shared" si="7"/>
        <v>1.4569897333333328</v>
      </c>
    </row>
    <row r="199" spans="1:13" x14ac:dyDescent="0.3">
      <c r="A199" s="4" t="s">
        <v>599</v>
      </c>
      <c r="B199" s="4">
        <v>10</v>
      </c>
      <c r="C199" s="4">
        <v>48909483</v>
      </c>
      <c r="D199" s="4">
        <v>48935190</v>
      </c>
      <c r="E199" s="4">
        <v>4.2410086999999999E-2</v>
      </c>
      <c r="F199" s="4" t="s">
        <v>600</v>
      </c>
      <c r="G199" s="4" t="s">
        <v>601</v>
      </c>
      <c r="H199" s="5">
        <v>0.6085728395833333</v>
      </c>
      <c r="I199" s="5">
        <v>-0.8152048218750001</v>
      </c>
      <c r="J199" s="5">
        <v>1.6763899833333333</v>
      </c>
      <c r="K199" s="5">
        <v>-0.98830989000000002</v>
      </c>
      <c r="L199" s="6">
        <f t="shared" si="6"/>
        <v>1.4237776614583333</v>
      </c>
      <c r="M199" s="6">
        <f t="shared" si="7"/>
        <v>2.6646998733333334</v>
      </c>
    </row>
    <row r="200" spans="1:13" x14ac:dyDescent="0.3">
      <c r="A200" s="4" t="s">
        <v>602</v>
      </c>
      <c r="B200" s="4">
        <v>10</v>
      </c>
      <c r="C200" s="4">
        <v>70597348</v>
      </c>
      <c r="D200" s="4">
        <v>70602775</v>
      </c>
      <c r="E200" s="4">
        <v>2.6126646999999999E-2</v>
      </c>
      <c r="F200" s="4" t="s">
        <v>603</v>
      </c>
      <c r="G200" s="4" t="s">
        <v>604</v>
      </c>
      <c r="H200" s="5">
        <v>2.5241779437499994</v>
      </c>
      <c r="I200" s="5">
        <v>0.69844036750000005</v>
      </c>
      <c r="J200" s="5">
        <v>4.1189200000000001</v>
      </c>
      <c r="K200" s="5">
        <v>0.97634348666666659</v>
      </c>
      <c r="L200" s="6">
        <f t="shared" si="6"/>
        <v>1.8257375762499994</v>
      </c>
      <c r="M200" s="6">
        <f t="shared" si="7"/>
        <v>3.1425765133333337</v>
      </c>
    </row>
    <row r="201" spans="1:13" x14ac:dyDescent="0.3">
      <c r="A201" s="4" t="s">
        <v>605</v>
      </c>
      <c r="B201" s="4">
        <v>10</v>
      </c>
      <c r="C201" s="4">
        <v>71396934</v>
      </c>
      <c r="D201" s="4">
        <v>71815947</v>
      </c>
      <c r="E201" s="4">
        <v>3.9469626000000001E-2</v>
      </c>
      <c r="F201" s="4" t="s">
        <v>606</v>
      </c>
      <c r="G201" s="4" t="s">
        <v>607</v>
      </c>
      <c r="H201" s="5">
        <v>3.4507273249999995</v>
      </c>
      <c r="I201" s="5">
        <v>2.7263900749999999</v>
      </c>
      <c r="J201" s="5">
        <v>4.2545794999999993</v>
      </c>
      <c r="K201" s="5">
        <v>3.1763873</v>
      </c>
      <c r="L201" s="6">
        <f t="shared" si="6"/>
        <v>0.7243372499999996</v>
      </c>
      <c r="M201" s="6">
        <f t="shared" si="7"/>
        <v>1.0781921999999993</v>
      </c>
    </row>
    <row r="202" spans="1:13" x14ac:dyDescent="0.3">
      <c r="A202" s="4" t="s">
        <v>608</v>
      </c>
      <c r="B202" s="4">
        <v>10</v>
      </c>
      <c r="C202" s="4">
        <v>72059035</v>
      </c>
      <c r="D202" s="4">
        <v>72089032</v>
      </c>
      <c r="E202" s="4">
        <v>3.2859407E-2</v>
      </c>
      <c r="F202" s="4" t="s">
        <v>609</v>
      </c>
      <c r="G202" s="4" t="s">
        <v>610</v>
      </c>
      <c r="H202" s="5">
        <v>2.4298703245833333</v>
      </c>
      <c r="I202" s="5">
        <v>1.4569854019999999</v>
      </c>
      <c r="J202" s="5">
        <v>3.6560286999999998</v>
      </c>
      <c r="K202" s="5">
        <v>1.3632864400000002</v>
      </c>
      <c r="L202" s="6">
        <f t="shared" si="6"/>
        <v>0.97288492258333337</v>
      </c>
      <c r="M202" s="6">
        <f t="shared" si="7"/>
        <v>2.2927422599999998</v>
      </c>
    </row>
    <row r="203" spans="1:13" x14ac:dyDescent="0.3">
      <c r="A203" s="4" t="s">
        <v>611</v>
      </c>
      <c r="B203" s="4">
        <v>10</v>
      </c>
      <c r="C203" s="4">
        <v>88822132</v>
      </c>
      <c r="D203" s="4">
        <v>88851818</v>
      </c>
      <c r="E203" s="4">
        <v>2.7332685999999998E-2</v>
      </c>
      <c r="F203" s="4" t="s">
        <v>612</v>
      </c>
      <c r="G203" s="4" t="s">
        <v>613</v>
      </c>
      <c r="H203" s="5">
        <v>1.2097371527499998</v>
      </c>
      <c r="I203" s="5">
        <v>-1.5865945778749997</v>
      </c>
      <c r="J203" s="5">
        <v>2.9626445333333336</v>
      </c>
      <c r="K203" s="5">
        <v>0.81009975999999995</v>
      </c>
      <c r="L203" s="6">
        <f t="shared" si="6"/>
        <v>2.7963317306249995</v>
      </c>
      <c r="M203" s="6">
        <f t="shared" si="7"/>
        <v>2.1525447733333336</v>
      </c>
    </row>
    <row r="204" spans="1:13" x14ac:dyDescent="0.3">
      <c r="A204" s="4" t="s">
        <v>614</v>
      </c>
      <c r="B204" s="4">
        <v>10</v>
      </c>
      <c r="C204" s="4">
        <v>93073475</v>
      </c>
      <c r="D204" s="4">
        <v>93077890</v>
      </c>
      <c r="E204" s="4">
        <v>1.3861043E-2</v>
      </c>
      <c r="F204" s="4" t="s">
        <v>615</v>
      </c>
      <c r="G204" s="4" t="s">
        <v>616</v>
      </c>
      <c r="H204" s="5">
        <v>-2.370891635833333</v>
      </c>
      <c r="I204" s="5">
        <v>-1.5795948874999999</v>
      </c>
      <c r="J204" s="5">
        <v>-3.7517267349999996</v>
      </c>
      <c r="K204" s="5">
        <v>-2.5820965533333333</v>
      </c>
      <c r="L204" s="6">
        <f t="shared" si="6"/>
        <v>-0.79129674833333308</v>
      </c>
      <c r="M204" s="6">
        <f t="shared" si="7"/>
        <v>-1.1696301816666663</v>
      </c>
    </row>
    <row r="205" spans="1:13" x14ac:dyDescent="0.3">
      <c r="A205" s="4" t="s">
        <v>617</v>
      </c>
      <c r="B205" s="4">
        <v>10</v>
      </c>
      <c r="C205" s="4">
        <v>95907603</v>
      </c>
      <c r="D205" s="4">
        <v>95938723</v>
      </c>
      <c r="E205" s="4">
        <v>4.8713966999999997E-2</v>
      </c>
      <c r="F205" s="4" t="s">
        <v>618</v>
      </c>
      <c r="G205" s="4" t="s">
        <v>619</v>
      </c>
      <c r="H205" s="5">
        <v>0.31587734441666676</v>
      </c>
      <c r="I205" s="5">
        <v>-0.33603840875000002</v>
      </c>
      <c r="J205" s="5">
        <v>0.99254320166666676</v>
      </c>
      <c r="K205" s="5">
        <v>-0.12568522333333335</v>
      </c>
      <c r="L205" s="6">
        <f t="shared" si="6"/>
        <v>0.65191575316666683</v>
      </c>
      <c r="M205" s="6">
        <f t="shared" si="7"/>
        <v>1.1182284250000001</v>
      </c>
    </row>
    <row r="206" spans="1:13" x14ac:dyDescent="0.3">
      <c r="A206" s="4" t="s">
        <v>620</v>
      </c>
      <c r="B206" s="4">
        <v>10</v>
      </c>
      <c r="C206" s="4">
        <v>112374018</v>
      </c>
      <c r="D206" s="4">
        <v>112428380</v>
      </c>
      <c r="E206" s="4">
        <v>2.530957E-2</v>
      </c>
      <c r="F206" s="4" t="s">
        <v>621</v>
      </c>
      <c r="G206" s="4" t="s">
        <v>622</v>
      </c>
      <c r="H206" s="5">
        <v>3.8161823208333332</v>
      </c>
      <c r="I206" s="5">
        <v>2.7378376375000002</v>
      </c>
      <c r="J206" s="5">
        <v>4.5665742333333332</v>
      </c>
      <c r="K206" s="5">
        <v>3.4541466000000001</v>
      </c>
      <c r="L206" s="6">
        <f t="shared" si="6"/>
        <v>1.078344683333333</v>
      </c>
      <c r="M206" s="6">
        <f t="shared" si="7"/>
        <v>1.1124276333333332</v>
      </c>
    </row>
    <row r="207" spans="1:13" x14ac:dyDescent="0.3">
      <c r="A207" s="4" t="s">
        <v>623</v>
      </c>
      <c r="B207" s="4">
        <v>10</v>
      </c>
      <c r="C207" s="4">
        <v>114120862</v>
      </c>
      <c r="D207" s="4">
        <v>114174220</v>
      </c>
      <c r="E207" s="4">
        <v>2.0456715E-2</v>
      </c>
      <c r="F207" s="4" t="s">
        <v>624</v>
      </c>
      <c r="G207" s="4" t="s">
        <v>625</v>
      </c>
      <c r="H207" s="5">
        <v>4.8039216333333332</v>
      </c>
      <c r="I207" s="5">
        <v>4.1672640749999994</v>
      </c>
      <c r="J207" s="5">
        <v>4.91978765</v>
      </c>
      <c r="K207" s="5">
        <v>4.5566367999999997</v>
      </c>
      <c r="L207" s="6">
        <f t="shared" si="6"/>
        <v>0.63665755833333382</v>
      </c>
      <c r="M207" s="6">
        <f t="shared" si="7"/>
        <v>0.36315085000000025</v>
      </c>
    </row>
    <row r="208" spans="1:13" x14ac:dyDescent="0.3">
      <c r="A208" s="4" t="s">
        <v>626</v>
      </c>
      <c r="B208" s="4">
        <v>11</v>
      </c>
      <c r="C208" s="4">
        <v>417933</v>
      </c>
      <c r="D208" s="4">
        <v>442011</v>
      </c>
      <c r="E208" s="4">
        <v>4.1277990000000001E-2</v>
      </c>
      <c r="F208" s="4" t="s">
        <v>627</v>
      </c>
      <c r="G208" s="4" t="s">
        <v>628</v>
      </c>
      <c r="H208" s="5">
        <v>2.011841725833333</v>
      </c>
      <c r="I208" s="5">
        <v>0.94824165662499982</v>
      </c>
      <c r="J208" s="5">
        <v>2.6634935333333334</v>
      </c>
      <c r="K208" s="5">
        <v>0.83879745000000006</v>
      </c>
      <c r="L208" s="6">
        <f t="shared" si="6"/>
        <v>1.0636000692083332</v>
      </c>
      <c r="M208" s="6">
        <f t="shared" si="7"/>
        <v>1.8246960833333334</v>
      </c>
    </row>
    <row r="209" spans="1:13" x14ac:dyDescent="0.3">
      <c r="A209" s="4" t="s">
        <v>629</v>
      </c>
      <c r="B209" s="4">
        <v>11</v>
      </c>
      <c r="C209" s="4">
        <v>694438</v>
      </c>
      <c r="D209" s="4">
        <v>727727</v>
      </c>
      <c r="E209" s="4">
        <v>4.9897856999999997E-2</v>
      </c>
      <c r="F209" s="4" t="s">
        <v>630</v>
      </c>
      <c r="G209" s="4" t="s">
        <v>631</v>
      </c>
      <c r="H209" s="5">
        <v>1.5971548250000003</v>
      </c>
      <c r="I209" s="5">
        <v>1.3374820175</v>
      </c>
      <c r="J209" s="5">
        <v>1.0495090791666666</v>
      </c>
      <c r="K209" s="5">
        <v>2.988171166666667</v>
      </c>
      <c r="L209" s="6">
        <f t="shared" si="6"/>
        <v>0.25967280750000032</v>
      </c>
      <c r="M209" s="6">
        <f t="shared" si="7"/>
        <v>-1.9386620875000005</v>
      </c>
    </row>
    <row r="210" spans="1:13" x14ac:dyDescent="0.3">
      <c r="A210" s="4" t="s">
        <v>632</v>
      </c>
      <c r="B210" s="4">
        <v>11</v>
      </c>
      <c r="C210" s="4">
        <v>5689689</v>
      </c>
      <c r="D210" s="4">
        <v>5737089</v>
      </c>
      <c r="E210" s="4">
        <v>8.9456329999999997E-3</v>
      </c>
      <c r="F210" s="4" t="s">
        <v>633</v>
      </c>
      <c r="G210" s="4" t="s">
        <v>634</v>
      </c>
      <c r="H210" s="5">
        <v>4.9125948374999995</v>
      </c>
      <c r="I210" s="5">
        <v>3.9753371375000004</v>
      </c>
      <c r="J210" s="5">
        <v>5.3478214166666662</v>
      </c>
      <c r="K210" s="5">
        <v>4.2011618000000004</v>
      </c>
      <c r="L210" s="6">
        <f t="shared" si="6"/>
        <v>0.93725769999999908</v>
      </c>
      <c r="M210" s="6">
        <f t="shared" si="7"/>
        <v>1.1466596166666658</v>
      </c>
    </row>
    <row r="211" spans="1:13" x14ac:dyDescent="0.3">
      <c r="A211" s="4" t="s">
        <v>635</v>
      </c>
      <c r="B211" s="4">
        <v>11</v>
      </c>
      <c r="C211" s="4">
        <v>60455752</v>
      </c>
      <c r="D211" s="4">
        <v>60470760</v>
      </c>
      <c r="E211" s="4">
        <v>1.9326304999999998E-2</v>
      </c>
      <c r="F211" s="4" t="s">
        <v>636</v>
      </c>
      <c r="G211" s="4" t="s">
        <v>637</v>
      </c>
      <c r="H211" s="5">
        <v>3.0364007954166667</v>
      </c>
      <c r="I211" s="5">
        <v>2.2057674</v>
      </c>
      <c r="J211" s="5">
        <v>3.9103533666666674</v>
      </c>
      <c r="K211" s="5">
        <v>1.6694225333333332</v>
      </c>
      <c r="L211" s="6">
        <f t="shared" si="6"/>
        <v>0.8306333954166667</v>
      </c>
      <c r="M211" s="6">
        <f t="shared" si="7"/>
        <v>2.2409308333333344</v>
      </c>
    </row>
    <row r="212" spans="1:13" x14ac:dyDescent="0.3">
      <c r="A212" s="4" t="s">
        <v>638</v>
      </c>
      <c r="B212" s="4">
        <v>11</v>
      </c>
      <c r="C212" s="4">
        <v>60971680</v>
      </c>
      <c r="D212" s="4">
        <v>61020377</v>
      </c>
      <c r="E212" s="4">
        <v>1.7473638E-2</v>
      </c>
      <c r="F212" s="4" t="s">
        <v>639</v>
      </c>
      <c r="G212" s="4" t="s">
        <v>640</v>
      </c>
      <c r="H212" s="5">
        <v>2.7085325112500005</v>
      </c>
      <c r="I212" s="5">
        <v>1.3125944624999999</v>
      </c>
      <c r="J212" s="5">
        <v>4.0005654833333333</v>
      </c>
      <c r="K212" s="5">
        <v>1.6264307866666667</v>
      </c>
      <c r="L212" s="6">
        <f t="shared" si="6"/>
        <v>1.3959380487500006</v>
      </c>
      <c r="M212" s="6">
        <f t="shared" si="7"/>
        <v>2.3741346966666663</v>
      </c>
    </row>
    <row r="213" spans="1:13" x14ac:dyDescent="0.3">
      <c r="A213" s="4" t="s">
        <v>641</v>
      </c>
      <c r="B213" s="4">
        <v>11</v>
      </c>
      <c r="C213" s="4">
        <v>61102395</v>
      </c>
      <c r="D213" s="4">
        <v>61127852</v>
      </c>
      <c r="E213" s="4">
        <v>4.3967076000000001E-2</v>
      </c>
      <c r="F213" s="4" t="s">
        <v>642</v>
      </c>
      <c r="G213" s="4" t="s">
        <v>643</v>
      </c>
      <c r="H213" s="5">
        <v>1.6587063650000005</v>
      </c>
      <c r="I213" s="5">
        <v>0.20419821125000001</v>
      </c>
      <c r="J213" s="5">
        <v>3.2837200499999999</v>
      </c>
      <c r="K213" s="5">
        <v>0.78016999666666675</v>
      </c>
      <c r="L213" s="6">
        <f t="shared" si="6"/>
        <v>1.4545081537500004</v>
      </c>
      <c r="M213" s="6">
        <f t="shared" si="7"/>
        <v>2.503550053333333</v>
      </c>
    </row>
    <row r="214" spans="1:13" x14ac:dyDescent="0.3">
      <c r="A214" s="4" t="s">
        <v>644</v>
      </c>
      <c r="B214" s="4">
        <v>11</v>
      </c>
      <c r="C214" s="4">
        <v>63911221</v>
      </c>
      <c r="D214" s="4">
        <v>63916844</v>
      </c>
      <c r="E214" s="4">
        <v>1.9868371999999999E-2</v>
      </c>
      <c r="F214" s="4" t="s">
        <v>645</v>
      </c>
      <c r="G214" s="4" t="s">
        <v>646</v>
      </c>
      <c r="H214" s="5">
        <v>-0.16851669350000001</v>
      </c>
      <c r="I214" s="5">
        <v>1.41191329875</v>
      </c>
      <c r="J214" s="5">
        <v>-1.0165769116666665</v>
      </c>
      <c r="K214" s="5">
        <v>1.5279393466666669</v>
      </c>
      <c r="L214" s="6">
        <f t="shared" si="6"/>
        <v>-1.58042999225</v>
      </c>
      <c r="M214" s="6">
        <f t="shared" si="7"/>
        <v>-2.5445162583333332</v>
      </c>
    </row>
    <row r="215" spans="1:13" x14ac:dyDescent="0.3">
      <c r="A215" s="4" t="s">
        <v>647</v>
      </c>
      <c r="B215" s="4">
        <v>11</v>
      </c>
      <c r="C215" s="4">
        <v>65879809</v>
      </c>
      <c r="D215" s="4">
        <v>65883741</v>
      </c>
      <c r="E215" s="4">
        <v>1.9326304999999998E-2</v>
      </c>
      <c r="F215" s="4" t="s">
        <v>648</v>
      </c>
      <c r="G215" s="4" t="s">
        <v>649</v>
      </c>
      <c r="H215" s="5">
        <v>1.9183640941666666</v>
      </c>
      <c r="I215" s="5">
        <v>0.21341956567500001</v>
      </c>
      <c r="J215" s="5">
        <v>3.0246884166666668</v>
      </c>
      <c r="K215" s="5">
        <v>3.7690906666666711E-2</v>
      </c>
      <c r="L215" s="6">
        <f t="shared" si="6"/>
        <v>1.7049445284916667</v>
      </c>
      <c r="M215" s="6">
        <f t="shared" si="7"/>
        <v>2.9869975100000001</v>
      </c>
    </row>
    <row r="216" spans="1:13" x14ac:dyDescent="0.3">
      <c r="A216" s="4" t="s">
        <v>650</v>
      </c>
      <c r="B216" s="4">
        <v>11</v>
      </c>
      <c r="C216" s="4">
        <v>85694224</v>
      </c>
      <c r="D216" s="4">
        <v>85811159</v>
      </c>
      <c r="E216" s="4">
        <v>4.1277990000000001E-2</v>
      </c>
      <c r="F216" s="4" t="s">
        <v>651</v>
      </c>
      <c r="G216" s="4" t="s">
        <v>652</v>
      </c>
      <c r="H216" s="5">
        <v>5.0814051041666666</v>
      </c>
      <c r="I216" s="5">
        <v>4.4109471999999998</v>
      </c>
      <c r="J216" s="5">
        <v>4.9546144166666668</v>
      </c>
      <c r="K216" s="5">
        <v>5.0471075333333326</v>
      </c>
      <c r="L216" s="6">
        <f t="shared" si="6"/>
        <v>0.67045790416666673</v>
      </c>
      <c r="M216" s="6">
        <f t="shared" si="7"/>
        <v>-9.249311666666582E-2</v>
      </c>
    </row>
    <row r="217" spans="1:13" x14ac:dyDescent="0.3">
      <c r="A217" s="4" t="s">
        <v>653</v>
      </c>
      <c r="B217" s="4">
        <v>11</v>
      </c>
      <c r="C217" s="4">
        <v>102317450</v>
      </c>
      <c r="D217" s="4">
        <v>102339403</v>
      </c>
      <c r="E217" s="4">
        <v>9.5714289999999994E-3</v>
      </c>
      <c r="F217" s="4" t="s">
        <v>654</v>
      </c>
      <c r="G217" s="4" t="s">
        <v>655</v>
      </c>
      <c r="H217" s="5">
        <v>4.1787665541666668</v>
      </c>
      <c r="I217" s="5">
        <v>2.8510308500000003</v>
      </c>
      <c r="J217" s="5">
        <v>4.5455760166666677</v>
      </c>
      <c r="K217" s="5">
        <v>3.1596393333333332</v>
      </c>
      <c r="L217" s="6">
        <f t="shared" si="6"/>
        <v>1.3277357041666664</v>
      </c>
      <c r="M217" s="6">
        <f t="shared" si="7"/>
        <v>1.3859366833333344</v>
      </c>
    </row>
    <row r="218" spans="1:13" x14ac:dyDescent="0.3">
      <c r="A218" s="4" t="s">
        <v>656</v>
      </c>
      <c r="B218" s="4">
        <v>11</v>
      </c>
      <c r="C218" s="4">
        <v>102862736</v>
      </c>
      <c r="D218" s="4">
        <v>102875034</v>
      </c>
      <c r="E218" s="4">
        <v>2.8009662000000001E-2</v>
      </c>
      <c r="F218" s="4" t="s">
        <v>657</v>
      </c>
      <c r="G218" s="4" t="s">
        <v>658</v>
      </c>
      <c r="H218" s="5">
        <v>1.1847177874166663</v>
      </c>
      <c r="I218" s="5">
        <v>0.26365096037500002</v>
      </c>
      <c r="J218" s="5">
        <v>2.2140176433333334</v>
      </c>
      <c r="K218" s="5">
        <v>-0.30306250666666662</v>
      </c>
      <c r="L218" s="6">
        <f t="shared" si="6"/>
        <v>0.92106682704166631</v>
      </c>
      <c r="M218" s="6">
        <f t="shared" si="7"/>
        <v>2.51708015</v>
      </c>
    </row>
    <row r="219" spans="1:13" x14ac:dyDescent="0.3">
      <c r="A219" s="4" t="s">
        <v>659</v>
      </c>
      <c r="B219" s="4">
        <v>11</v>
      </c>
      <c r="C219" s="4">
        <v>104994235</v>
      </c>
      <c r="D219" s="4">
        <v>105023168</v>
      </c>
      <c r="E219" s="4">
        <v>3.3577046999999999E-2</v>
      </c>
      <c r="F219" s="4" t="s">
        <v>660</v>
      </c>
      <c r="G219" s="4" t="s">
        <v>661</v>
      </c>
      <c r="H219" s="5">
        <v>4.0803347916666712E-2</v>
      </c>
      <c r="I219" s="5">
        <v>-2.1610623074999999</v>
      </c>
      <c r="J219" s="5">
        <v>1.694051175</v>
      </c>
      <c r="K219" s="5">
        <v>-0.75445653999999995</v>
      </c>
      <c r="L219" s="6">
        <f t="shared" si="6"/>
        <v>2.2018656554166665</v>
      </c>
      <c r="M219" s="6">
        <f t="shared" si="7"/>
        <v>2.4485077149999999</v>
      </c>
    </row>
    <row r="220" spans="1:13" x14ac:dyDescent="0.3">
      <c r="A220" s="4" t="s">
        <v>662</v>
      </c>
      <c r="B220" s="4">
        <v>11</v>
      </c>
      <c r="C220" s="4">
        <v>118193740</v>
      </c>
      <c r="D220" s="4">
        <v>118225094</v>
      </c>
      <c r="E220" s="4">
        <v>1.9326304999999998E-2</v>
      </c>
      <c r="F220" s="4" t="s">
        <v>663</v>
      </c>
      <c r="G220" s="4" t="s">
        <v>664</v>
      </c>
      <c r="H220" s="5">
        <v>3.9200352291666669</v>
      </c>
      <c r="I220" s="5">
        <v>2.6670746825</v>
      </c>
      <c r="J220" s="5">
        <v>4.8230950000000004</v>
      </c>
      <c r="K220" s="5">
        <v>3.2485180000000002</v>
      </c>
      <c r="L220" s="6">
        <f t="shared" si="6"/>
        <v>1.2529605466666669</v>
      </c>
      <c r="M220" s="6">
        <f t="shared" si="7"/>
        <v>1.5745770000000001</v>
      </c>
    </row>
    <row r="221" spans="1:13" x14ac:dyDescent="0.3">
      <c r="A221" s="4" t="s">
        <v>665</v>
      </c>
      <c r="B221" s="4">
        <v>11</v>
      </c>
      <c r="C221" s="4">
        <v>118304545</v>
      </c>
      <c r="D221" s="4">
        <v>118316175</v>
      </c>
      <c r="E221" s="4">
        <v>2.9076320999999999E-2</v>
      </c>
      <c r="F221" s="4" t="s">
        <v>666</v>
      </c>
      <c r="G221" s="4" t="s">
        <v>667</v>
      </c>
      <c r="H221" s="5">
        <v>3.2577152083333338</v>
      </c>
      <c r="I221" s="5">
        <v>2.0181749637500004</v>
      </c>
      <c r="J221" s="5">
        <v>4.65713095</v>
      </c>
      <c r="K221" s="5">
        <v>2.2783085333333335</v>
      </c>
      <c r="L221" s="6">
        <f t="shared" si="6"/>
        <v>1.2395402445833335</v>
      </c>
      <c r="M221" s="6">
        <f t="shared" si="7"/>
        <v>2.3788224166666665</v>
      </c>
    </row>
    <row r="222" spans="1:13" x14ac:dyDescent="0.3">
      <c r="A222" s="4" t="s">
        <v>668</v>
      </c>
      <c r="B222" s="4">
        <v>11</v>
      </c>
      <c r="C222" s="4">
        <v>118344344</v>
      </c>
      <c r="D222" s="4">
        <v>118355161</v>
      </c>
      <c r="E222" s="4">
        <v>2.576964E-2</v>
      </c>
      <c r="F222" s="4" t="s">
        <v>669</v>
      </c>
      <c r="G222" s="4" t="s">
        <v>670</v>
      </c>
      <c r="H222" s="5">
        <v>2.1726770608333328</v>
      </c>
      <c r="I222" s="5">
        <v>0.61047164374999996</v>
      </c>
      <c r="J222" s="5">
        <v>3.8366471999999998</v>
      </c>
      <c r="K222" s="5">
        <v>1.14889602</v>
      </c>
      <c r="L222" s="6">
        <f t="shared" si="6"/>
        <v>1.5622054170833328</v>
      </c>
      <c r="M222" s="6">
        <f t="shared" si="7"/>
        <v>2.6877511799999998</v>
      </c>
    </row>
    <row r="223" spans="1:13" x14ac:dyDescent="0.3">
      <c r="A223" s="4" t="s">
        <v>671</v>
      </c>
      <c r="B223" s="4">
        <v>11</v>
      </c>
      <c r="C223" s="4">
        <v>122838500</v>
      </c>
      <c r="D223" s="4">
        <v>122872639</v>
      </c>
      <c r="E223" s="4">
        <v>1.1925198999999999E-2</v>
      </c>
      <c r="F223" s="4" t="s">
        <v>672</v>
      </c>
      <c r="G223" s="4" t="s">
        <v>673</v>
      </c>
      <c r="H223" s="5">
        <v>0.57166985041666674</v>
      </c>
      <c r="I223" s="5">
        <v>-2.0287418625</v>
      </c>
      <c r="J223" s="5">
        <v>2.11844265</v>
      </c>
      <c r="K223" s="5">
        <v>-1.6312821433333333</v>
      </c>
      <c r="L223" s="6">
        <f t="shared" si="6"/>
        <v>2.6004117129166668</v>
      </c>
      <c r="M223" s="6">
        <f t="shared" si="7"/>
        <v>3.7497247933333333</v>
      </c>
    </row>
    <row r="224" spans="1:13" x14ac:dyDescent="0.3">
      <c r="A224" s="4" t="s">
        <v>674</v>
      </c>
      <c r="B224" s="4">
        <v>11</v>
      </c>
      <c r="C224" s="4">
        <v>124115362</v>
      </c>
      <c r="D224" s="4">
        <v>124147721</v>
      </c>
      <c r="E224" s="4">
        <v>3.5899783999999997E-2</v>
      </c>
      <c r="F224" s="4" t="s">
        <v>675</v>
      </c>
      <c r="G224" s="4" t="s">
        <v>676</v>
      </c>
      <c r="H224" s="5">
        <v>2.7946031499999999</v>
      </c>
      <c r="I224" s="5">
        <v>1.9470621887499999</v>
      </c>
      <c r="J224" s="5">
        <v>3.4730089500000005</v>
      </c>
      <c r="K224" s="5">
        <v>3.3339267666666665</v>
      </c>
      <c r="L224" s="6">
        <f t="shared" si="6"/>
        <v>0.84754096125</v>
      </c>
      <c r="M224" s="6">
        <f t="shared" si="7"/>
        <v>0.139082183333334</v>
      </c>
    </row>
    <row r="225" spans="1:13" x14ac:dyDescent="0.3">
      <c r="A225" s="4" t="s">
        <v>677</v>
      </c>
      <c r="B225" s="4">
        <v>12</v>
      </c>
      <c r="C225" s="4">
        <v>4273772</v>
      </c>
      <c r="D225" s="4">
        <v>4305350</v>
      </c>
      <c r="E225" s="4">
        <v>4.0258071999999999E-2</v>
      </c>
      <c r="F225" s="4" t="s">
        <v>678</v>
      </c>
      <c r="G225" s="4" t="s">
        <v>679</v>
      </c>
      <c r="H225" s="5">
        <v>2.8998400041666668</v>
      </c>
      <c r="I225" s="5">
        <v>1.8720629124999997</v>
      </c>
      <c r="J225" s="5">
        <v>3.2399841166666667</v>
      </c>
      <c r="K225" s="5">
        <v>1.9797621200000002</v>
      </c>
      <c r="L225" s="6">
        <f t="shared" si="6"/>
        <v>1.0277770916666671</v>
      </c>
      <c r="M225" s="6">
        <f t="shared" si="7"/>
        <v>1.2602219966666666</v>
      </c>
    </row>
    <row r="226" spans="1:13" x14ac:dyDescent="0.3">
      <c r="A226" s="4" t="s">
        <v>680</v>
      </c>
      <c r="B226" s="4">
        <v>12</v>
      </c>
      <c r="C226" s="4">
        <v>8533305</v>
      </c>
      <c r="D226" s="4">
        <v>8540963</v>
      </c>
      <c r="E226" s="4">
        <v>3.2603345999999998E-2</v>
      </c>
      <c r="F226" s="4" t="s">
        <v>681</v>
      </c>
      <c r="G226" s="4" t="s">
        <v>682</v>
      </c>
      <c r="H226" s="5">
        <v>0.46607889002499997</v>
      </c>
      <c r="I226" s="5">
        <v>-1.276193430625</v>
      </c>
      <c r="J226" s="5">
        <v>2.1266804833333333</v>
      </c>
      <c r="K226" s="5">
        <v>-0.37637604000000002</v>
      </c>
      <c r="L226" s="6">
        <f t="shared" si="6"/>
        <v>1.7422723206499999</v>
      </c>
      <c r="M226" s="6">
        <f t="shared" si="7"/>
        <v>2.5030565233333331</v>
      </c>
    </row>
    <row r="227" spans="1:13" x14ac:dyDescent="0.3">
      <c r="A227" s="4" t="s">
        <v>683</v>
      </c>
      <c r="B227" s="4">
        <v>12</v>
      </c>
      <c r="C227" s="4">
        <v>9752486</v>
      </c>
      <c r="D227" s="4">
        <v>9760901</v>
      </c>
      <c r="E227" s="4">
        <v>1.9326304999999998E-2</v>
      </c>
      <c r="F227" s="4" t="s">
        <v>684</v>
      </c>
      <c r="G227" s="4" t="s">
        <v>685</v>
      </c>
      <c r="H227" s="5">
        <v>1.9755527770833334</v>
      </c>
      <c r="I227" s="5">
        <v>0.70876169375000009</v>
      </c>
      <c r="J227" s="5">
        <v>2.9187374666666663</v>
      </c>
      <c r="K227" s="5">
        <v>0.27198426333333336</v>
      </c>
      <c r="L227" s="6">
        <f t="shared" si="6"/>
        <v>1.2667910833333333</v>
      </c>
      <c r="M227" s="6">
        <f t="shared" si="7"/>
        <v>2.6467532033333327</v>
      </c>
    </row>
    <row r="228" spans="1:13" x14ac:dyDescent="0.3">
      <c r="A228" s="4" t="s">
        <v>686</v>
      </c>
      <c r="B228" s="4">
        <v>12</v>
      </c>
      <c r="C228" s="4">
        <v>10226058</v>
      </c>
      <c r="D228" s="4">
        <v>10329600</v>
      </c>
      <c r="E228" s="4">
        <v>1.4751267E-2</v>
      </c>
      <c r="F228" s="4" t="s">
        <v>687</v>
      </c>
      <c r="G228" s="4" t="s">
        <v>688</v>
      </c>
      <c r="H228" s="5">
        <v>1.9041305323333335</v>
      </c>
      <c r="I228" s="5">
        <v>0.29901123312499989</v>
      </c>
      <c r="J228" s="5">
        <v>2.7011516566666667</v>
      </c>
      <c r="K228" s="5">
        <v>-0.1179907</v>
      </c>
      <c r="L228" s="6">
        <f t="shared" si="6"/>
        <v>1.6051192992083336</v>
      </c>
      <c r="M228" s="6">
        <f>J228-K228</f>
        <v>2.8191423566666667</v>
      </c>
    </row>
    <row r="229" spans="1:13" x14ac:dyDescent="0.3">
      <c r="A229" s="4" t="s">
        <v>689</v>
      </c>
      <c r="B229" s="4">
        <v>12</v>
      </c>
      <c r="C229" s="4">
        <v>14914035</v>
      </c>
      <c r="D229" s="4">
        <v>14939082</v>
      </c>
      <c r="E229" s="4">
        <v>1.9668651999999998E-2</v>
      </c>
      <c r="F229" s="4" t="s">
        <v>690</v>
      </c>
      <c r="G229" s="4" t="s">
        <v>691</v>
      </c>
      <c r="H229" s="5">
        <v>0.62584632166666665</v>
      </c>
      <c r="I229" s="5">
        <v>-0.65271710949999995</v>
      </c>
      <c r="J229" s="5">
        <v>1.4841342316666666</v>
      </c>
      <c r="K229" s="5">
        <v>0.20667754333333335</v>
      </c>
      <c r="L229" s="6">
        <f t="shared" si="6"/>
        <v>1.2785634311666665</v>
      </c>
      <c r="M229" s="6">
        <f t="shared" si="7"/>
        <v>1.2774566883333331</v>
      </c>
    </row>
    <row r="230" spans="1:13" x14ac:dyDescent="0.3">
      <c r="A230" s="4" t="s">
        <v>692</v>
      </c>
      <c r="B230" s="4">
        <v>12</v>
      </c>
      <c r="C230" s="4">
        <v>25021002</v>
      </c>
      <c r="D230" s="4">
        <v>25108334</v>
      </c>
      <c r="E230" s="4">
        <v>1.6213930000000001E-2</v>
      </c>
      <c r="F230" s="4" t="s">
        <v>693</v>
      </c>
      <c r="G230" s="4" t="s">
        <v>694</v>
      </c>
      <c r="H230" s="5">
        <v>2.9865765666666664</v>
      </c>
      <c r="I230" s="5">
        <v>1.9518113249999998</v>
      </c>
      <c r="J230" s="5">
        <v>3.6902933166666672</v>
      </c>
      <c r="K230" s="5">
        <v>1.8692791</v>
      </c>
      <c r="L230" s="6">
        <f t="shared" si="6"/>
        <v>1.0347652416666666</v>
      </c>
      <c r="M230" s="6">
        <f t="shared" si="7"/>
        <v>1.8210142166666672</v>
      </c>
    </row>
    <row r="231" spans="1:13" x14ac:dyDescent="0.3">
      <c r="A231" s="4" t="s">
        <v>695</v>
      </c>
      <c r="B231" s="4">
        <v>12</v>
      </c>
      <c r="C231" s="4">
        <v>30926428</v>
      </c>
      <c r="D231" s="4">
        <v>30996599</v>
      </c>
      <c r="E231" s="4">
        <v>9.5714289999999994E-3</v>
      </c>
      <c r="F231" s="4" t="s">
        <v>696</v>
      </c>
      <c r="G231" s="4" t="s">
        <v>697</v>
      </c>
      <c r="H231" s="5">
        <v>0.18633623535833332</v>
      </c>
      <c r="I231" s="5">
        <v>1.1271436400000001</v>
      </c>
      <c r="J231" s="5">
        <v>4.3851410000000014E-2</v>
      </c>
      <c r="K231" s="5">
        <v>0.82489771333333328</v>
      </c>
      <c r="L231" s="6">
        <f t="shared" si="6"/>
        <v>-0.94080740464166679</v>
      </c>
      <c r="M231" s="6">
        <f t="shared" si="7"/>
        <v>-0.78104630333333325</v>
      </c>
    </row>
    <row r="232" spans="1:13" x14ac:dyDescent="0.3">
      <c r="A232" s="4" t="s">
        <v>698</v>
      </c>
      <c r="B232" s="4">
        <v>12</v>
      </c>
      <c r="C232" s="4">
        <v>39550033</v>
      </c>
      <c r="D232" s="4">
        <v>39619751</v>
      </c>
      <c r="E232" s="4">
        <v>4.1277990000000001E-2</v>
      </c>
      <c r="F232" s="4" t="s">
        <v>699</v>
      </c>
      <c r="G232" s="4" t="s">
        <v>700</v>
      </c>
      <c r="H232" s="5">
        <v>1.7679900598083333</v>
      </c>
      <c r="I232" s="5">
        <v>0.20075140624999999</v>
      </c>
      <c r="J232" s="5">
        <v>2.8961346000000003</v>
      </c>
      <c r="K232" s="5">
        <v>1.1734989999999998</v>
      </c>
      <c r="L232" s="6">
        <f t="shared" si="6"/>
        <v>1.5672386535583334</v>
      </c>
      <c r="M232" s="6">
        <f t="shared" si="7"/>
        <v>1.7226356000000005</v>
      </c>
    </row>
    <row r="233" spans="1:13" x14ac:dyDescent="0.3">
      <c r="A233" s="4" t="s">
        <v>701</v>
      </c>
      <c r="B233" s="4">
        <v>12</v>
      </c>
      <c r="C233" s="4">
        <v>40196744</v>
      </c>
      <c r="D233" s="4">
        <v>40369285</v>
      </c>
      <c r="E233" s="4">
        <v>1.9309518E-3</v>
      </c>
      <c r="F233" s="4" t="s">
        <v>702</v>
      </c>
      <c r="G233" s="4" t="s">
        <v>703</v>
      </c>
      <c r="H233" s="5">
        <v>5.9692352583333337</v>
      </c>
      <c r="I233" s="5">
        <v>5.0260606750000001</v>
      </c>
      <c r="J233" s="5">
        <v>6.6530367833333335</v>
      </c>
      <c r="K233" s="5">
        <v>5.3850485666666659</v>
      </c>
      <c r="L233" s="6">
        <f t="shared" si="6"/>
        <v>0.94317458333333359</v>
      </c>
      <c r="M233" s="6">
        <f t="shared" si="7"/>
        <v>1.2679882166666676</v>
      </c>
    </row>
    <row r="234" spans="1:13" x14ac:dyDescent="0.3">
      <c r="A234" s="4" t="s">
        <v>704</v>
      </c>
      <c r="B234" s="4">
        <v>12</v>
      </c>
      <c r="C234" s="4">
        <v>51281038</v>
      </c>
      <c r="D234" s="4">
        <v>51324668</v>
      </c>
      <c r="E234" s="4">
        <v>3.605307E-2</v>
      </c>
      <c r="F234" s="4" t="s">
        <v>705</v>
      </c>
      <c r="G234" s="4" t="s">
        <v>706</v>
      </c>
      <c r="H234" s="5">
        <v>3.7608787541666668</v>
      </c>
      <c r="I234" s="5">
        <v>2.6172794162500002</v>
      </c>
      <c r="J234" s="5">
        <v>4.8049699833333328</v>
      </c>
      <c r="K234" s="5">
        <v>2.8367655999999997</v>
      </c>
      <c r="L234" s="6">
        <f t="shared" si="6"/>
        <v>1.1435993379166667</v>
      </c>
      <c r="M234" s="6">
        <f t="shared" si="7"/>
        <v>1.9682043833333331</v>
      </c>
    </row>
    <row r="235" spans="1:13" x14ac:dyDescent="0.3">
      <c r="A235" s="4" t="s">
        <v>707</v>
      </c>
      <c r="B235" s="4">
        <v>12</v>
      </c>
      <c r="C235" s="4">
        <v>54948018</v>
      </c>
      <c r="D235" s="4">
        <v>54984746</v>
      </c>
      <c r="E235" s="4">
        <v>3.3286702000000001E-2</v>
      </c>
      <c r="F235" s="4" t="s">
        <v>708</v>
      </c>
      <c r="G235" s="4" t="s">
        <v>709</v>
      </c>
      <c r="H235" s="5">
        <v>2.0745797358333342</v>
      </c>
      <c r="I235" s="5">
        <v>0.71584738249999991</v>
      </c>
      <c r="J235" s="5">
        <v>3.3971737333333336</v>
      </c>
      <c r="K235" s="5">
        <v>0.79903121333333349</v>
      </c>
      <c r="L235" s="6">
        <f t="shared" si="6"/>
        <v>1.3587323533333344</v>
      </c>
      <c r="M235" s="6">
        <f t="shared" si="7"/>
        <v>2.5981425200000001</v>
      </c>
    </row>
    <row r="236" spans="1:13" x14ac:dyDescent="0.3">
      <c r="A236" s="4" t="s">
        <v>710</v>
      </c>
      <c r="B236" s="4">
        <v>12</v>
      </c>
      <c r="C236" s="4">
        <v>71439770</v>
      </c>
      <c r="D236" s="4">
        <v>71586310</v>
      </c>
      <c r="E236" s="4">
        <v>4.9783689999999996E-4</v>
      </c>
      <c r="F236" s="4" t="s">
        <v>711</v>
      </c>
      <c r="G236" s="4" t="s">
        <v>712</v>
      </c>
      <c r="H236" s="5">
        <v>-0.60813662624999998</v>
      </c>
      <c r="I236" s="5">
        <v>0.74559399999999987</v>
      </c>
      <c r="J236" s="5">
        <v>-1.6586118260000002</v>
      </c>
      <c r="K236" s="5">
        <v>0.45562456666666673</v>
      </c>
      <c r="L236" s="6">
        <f t="shared" si="6"/>
        <v>-1.35373062625</v>
      </c>
      <c r="M236" s="6">
        <f t="shared" si="7"/>
        <v>-2.1142363926666672</v>
      </c>
    </row>
    <row r="237" spans="1:13" x14ac:dyDescent="0.3">
      <c r="A237" s="4" t="s">
        <v>713</v>
      </c>
      <c r="B237" s="4">
        <v>12</v>
      </c>
      <c r="C237" s="4">
        <v>101745497</v>
      </c>
      <c r="D237" s="4">
        <v>101830938</v>
      </c>
      <c r="E237" s="4">
        <v>4.9897856999999997E-2</v>
      </c>
      <c r="F237" s="4" t="s">
        <v>714</v>
      </c>
      <c r="G237" s="4" t="s">
        <v>715</v>
      </c>
      <c r="H237" s="5">
        <v>6.6606035166666659</v>
      </c>
      <c r="I237" s="5">
        <v>6.4160354249999996</v>
      </c>
      <c r="J237" s="5">
        <v>6.67349835</v>
      </c>
      <c r="K237" s="5">
        <v>6.6068421666666666</v>
      </c>
      <c r="L237" s="6">
        <f t="shared" si="6"/>
        <v>0.24456809166666638</v>
      </c>
      <c r="M237" s="6">
        <f t="shared" si="7"/>
        <v>6.6656183333333452E-2</v>
      </c>
    </row>
    <row r="238" spans="1:13" x14ac:dyDescent="0.3">
      <c r="A238" s="4" t="s">
        <v>716</v>
      </c>
      <c r="B238" s="4">
        <v>12</v>
      </c>
      <c r="C238" s="4">
        <v>101877351</v>
      </c>
      <c r="D238" s="4">
        <v>102012130</v>
      </c>
      <c r="E238" s="4">
        <v>1.7669688999999999E-2</v>
      </c>
      <c r="F238" s="4" t="s">
        <v>717</v>
      </c>
      <c r="G238" s="4" t="s">
        <v>718</v>
      </c>
      <c r="H238" s="5">
        <v>3.2152649499999999</v>
      </c>
      <c r="I238" s="5">
        <v>2.6736630750000003</v>
      </c>
      <c r="J238" s="5">
        <v>3.6453336166666666</v>
      </c>
      <c r="K238" s="5">
        <v>2.8897542333333335</v>
      </c>
      <c r="L238" s="6">
        <f t="shared" si="6"/>
        <v>0.54160187499999957</v>
      </c>
      <c r="M238" s="6">
        <f t="shared" si="7"/>
        <v>0.75557938333333308</v>
      </c>
    </row>
    <row r="239" spans="1:13" x14ac:dyDescent="0.3">
      <c r="A239" s="4" t="s">
        <v>719</v>
      </c>
      <c r="B239" s="4">
        <v>12</v>
      </c>
      <c r="C239" s="4">
        <v>119989869</v>
      </c>
      <c r="D239" s="4">
        <v>120094494</v>
      </c>
      <c r="E239" s="4">
        <v>4.0258071999999999E-2</v>
      </c>
      <c r="F239" s="4" t="s">
        <v>720</v>
      </c>
      <c r="G239" s="4" t="s">
        <v>721</v>
      </c>
      <c r="H239" s="5">
        <v>2.4399253229166669</v>
      </c>
      <c r="I239" s="5">
        <v>0.84362027375000004</v>
      </c>
      <c r="J239" s="5">
        <v>3.4916512666666661</v>
      </c>
      <c r="K239" s="5">
        <v>2.7238496333333337</v>
      </c>
      <c r="L239" s="6">
        <f t="shared" si="6"/>
        <v>1.5963050491666668</v>
      </c>
      <c r="M239" s="6">
        <f t="shared" si="7"/>
        <v>0.7678016333333324</v>
      </c>
    </row>
    <row r="240" spans="1:13" x14ac:dyDescent="0.3">
      <c r="A240" s="4" t="s">
        <v>722</v>
      </c>
      <c r="B240" s="4">
        <v>13</v>
      </c>
      <c r="C240" s="4">
        <v>28003274</v>
      </c>
      <c r="D240" s="4">
        <v>28100592</v>
      </c>
      <c r="E240" s="4">
        <v>3.1117433999999999E-2</v>
      </c>
      <c r="F240" s="4" t="s">
        <v>723</v>
      </c>
      <c r="G240" s="4" t="s">
        <v>724</v>
      </c>
      <c r="H240" s="5">
        <v>1.9313999398750006</v>
      </c>
      <c r="I240" s="5">
        <v>0.44731620250000004</v>
      </c>
      <c r="J240" s="5">
        <v>3.0375966166666668</v>
      </c>
      <c r="K240" s="5">
        <v>1.0003236930000001</v>
      </c>
      <c r="L240" s="6">
        <f t="shared" si="6"/>
        <v>1.4840837373750007</v>
      </c>
      <c r="M240" s="6">
        <f t="shared" si="7"/>
        <v>2.0372729236666665</v>
      </c>
    </row>
    <row r="241" spans="1:13" x14ac:dyDescent="0.3">
      <c r="A241" s="4" t="s">
        <v>725</v>
      </c>
      <c r="B241" s="4">
        <v>13</v>
      </c>
      <c r="C241" s="4">
        <v>33818049</v>
      </c>
      <c r="D241" s="4">
        <v>33966558</v>
      </c>
      <c r="E241" s="4">
        <v>4.1277990000000001E-2</v>
      </c>
      <c r="F241" s="4" t="s">
        <v>726</v>
      </c>
      <c r="G241" s="4" t="s">
        <v>727</v>
      </c>
      <c r="H241" s="5">
        <v>3.3157221708333338</v>
      </c>
      <c r="I241" s="5">
        <v>3.5950286500000002</v>
      </c>
      <c r="J241" s="5">
        <v>3.4015945166666666</v>
      </c>
      <c r="K241" s="5">
        <v>3.4750146000000002</v>
      </c>
      <c r="L241" s="6">
        <f t="shared" si="6"/>
        <v>-0.2793064791666664</v>
      </c>
      <c r="M241" s="6">
        <f t="shared" si="7"/>
        <v>-7.3420083333333608E-2</v>
      </c>
    </row>
    <row r="242" spans="1:13" x14ac:dyDescent="0.3">
      <c r="A242" s="4" t="s">
        <v>728</v>
      </c>
      <c r="B242" s="4">
        <v>13</v>
      </c>
      <c r="C242" s="4">
        <v>46125920</v>
      </c>
      <c r="D242" s="4">
        <v>46211871</v>
      </c>
      <c r="E242" s="4">
        <v>2.5112896999999999E-2</v>
      </c>
      <c r="F242" s="4" t="s">
        <v>729</v>
      </c>
      <c r="G242" s="4" t="s">
        <v>730</v>
      </c>
      <c r="H242" s="5">
        <v>5.3489103291666673</v>
      </c>
      <c r="I242" s="5">
        <v>4.5985762499999998</v>
      </c>
      <c r="J242" s="5">
        <v>5.905773316666667</v>
      </c>
      <c r="K242" s="5">
        <v>4.9131543333333338</v>
      </c>
      <c r="L242" s="6">
        <f t="shared" si="6"/>
        <v>0.7503340791666675</v>
      </c>
      <c r="M242" s="6">
        <f t="shared" si="7"/>
        <v>0.9926189833333332</v>
      </c>
    </row>
    <row r="243" spans="1:13" x14ac:dyDescent="0.3">
      <c r="A243" s="4" t="s">
        <v>731</v>
      </c>
      <c r="B243" s="4">
        <v>13</v>
      </c>
      <c r="C243" s="4">
        <v>66302834</v>
      </c>
      <c r="D243" s="4">
        <v>67230445</v>
      </c>
      <c r="E243" s="4">
        <v>4.2410086999999999E-2</v>
      </c>
      <c r="F243" s="4" t="s">
        <v>732</v>
      </c>
      <c r="G243" s="4" t="s">
        <v>733</v>
      </c>
      <c r="H243" s="5">
        <v>3.2442583558333342</v>
      </c>
      <c r="I243" s="5">
        <v>3.4012728875000002</v>
      </c>
      <c r="J243" s="5">
        <v>1.5348056333333335</v>
      </c>
      <c r="K243" s="5">
        <v>3.2330129666666672</v>
      </c>
      <c r="L243" s="6">
        <f t="shared" si="6"/>
        <v>-0.15701453166666601</v>
      </c>
      <c r="M243" s="6">
        <f t="shared" si="7"/>
        <v>-1.6982073333333336</v>
      </c>
    </row>
    <row r="244" spans="1:13" x14ac:dyDescent="0.3">
      <c r="A244" s="4" t="s">
        <v>734</v>
      </c>
      <c r="B244" s="4">
        <v>14</v>
      </c>
      <c r="C244" s="4">
        <v>20781051</v>
      </c>
      <c r="D244" s="4">
        <v>20782467</v>
      </c>
      <c r="E244" s="4">
        <v>3.3290736000000001E-2</v>
      </c>
      <c r="F244" s="4" t="s">
        <v>735</v>
      </c>
      <c r="G244" s="4" t="s">
        <v>736</v>
      </c>
      <c r="H244" s="5">
        <v>1.9067618979166669</v>
      </c>
      <c r="I244" s="5">
        <v>0.90577792449999994</v>
      </c>
      <c r="J244" s="5">
        <v>2.6010347833333332</v>
      </c>
      <c r="K244" s="5">
        <v>1.5004553666666667</v>
      </c>
      <c r="L244" s="6">
        <f t="shared" si="6"/>
        <v>1.000983973416667</v>
      </c>
      <c r="M244" s="6">
        <f t="shared" si="7"/>
        <v>1.1005794166666665</v>
      </c>
    </row>
    <row r="245" spans="1:13" x14ac:dyDescent="0.3">
      <c r="A245" s="4" t="s">
        <v>737</v>
      </c>
      <c r="B245" s="4">
        <v>14</v>
      </c>
      <c r="C245" s="4">
        <v>22281105</v>
      </c>
      <c r="D245" s="4">
        <v>22552155</v>
      </c>
      <c r="E245" s="4">
        <v>2.6101084E-2</v>
      </c>
      <c r="F245" s="4" t="s">
        <v>738</v>
      </c>
      <c r="G245" s="4" t="s">
        <v>739</v>
      </c>
      <c r="H245" s="5">
        <v>3.4469208916666663</v>
      </c>
      <c r="I245" s="5">
        <v>2.1275486749999999</v>
      </c>
      <c r="J245" s="5">
        <v>4.0611306666666671</v>
      </c>
      <c r="K245" s="5">
        <v>2.5486107333333332</v>
      </c>
      <c r="L245" s="6">
        <f t="shared" si="6"/>
        <v>1.3193722166666664</v>
      </c>
      <c r="M245" s="6">
        <f t="shared" si="7"/>
        <v>1.5125199333333339</v>
      </c>
    </row>
    <row r="246" spans="1:13" x14ac:dyDescent="0.3">
      <c r="A246" s="4" t="s">
        <v>740</v>
      </c>
      <c r="B246" s="4">
        <v>14</v>
      </c>
      <c r="C246" s="4">
        <v>22525650</v>
      </c>
      <c r="D246" s="4">
        <v>22525715</v>
      </c>
      <c r="E246" s="4">
        <v>2.6503804999999998E-2</v>
      </c>
      <c r="F246" s="4" t="s">
        <v>741</v>
      </c>
      <c r="G246" s="4" t="s">
        <v>742</v>
      </c>
      <c r="H246" s="5">
        <v>-1.4662041808333335</v>
      </c>
      <c r="I246" s="5">
        <v>-2.8073441749999999</v>
      </c>
      <c r="J246" s="5">
        <v>-0.74368794299999996</v>
      </c>
      <c r="K246" s="5">
        <v>-3.5820965333333334</v>
      </c>
      <c r="L246" s="6">
        <f t="shared" si="6"/>
        <v>1.3411399941666664</v>
      </c>
      <c r="M246" s="6">
        <f t="shared" si="7"/>
        <v>2.8384085903333336</v>
      </c>
    </row>
    <row r="247" spans="1:13" x14ac:dyDescent="0.3">
      <c r="A247" s="4" t="s">
        <v>743</v>
      </c>
      <c r="B247" s="4">
        <v>14</v>
      </c>
      <c r="C247" s="4">
        <v>23047062</v>
      </c>
      <c r="D247" s="4">
        <v>23057538</v>
      </c>
      <c r="E247" s="4">
        <v>1.1373566999999999E-2</v>
      </c>
      <c r="F247" s="4" t="s">
        <v>744</v>
      </c>
      <c r="G247" s="4" t="s">
        <v>745</v>
      </c>
      <c r="H247" s="5">
        <v>1.5102860629166666</v>
      </c>
      <c r="I247" s="5">
        <v>2.3871075025000001</v>
      </c>
      <c r="J247" s="5">
        <v>0.72901170833333329</v>
      </c>
      <c r="K247" s="5">
        <v>1.1932134999999999</v>
      </c>
      <c r="L247" s="6">
        <f t="shared" si="6"/>
        <v>-0.87682143958333358</v>
      </c>
      <c r="M247" s="6">
        <f t="shared" si="7"/>
        <v>-0.46420179166666664</v>
      </c>
    </row>
    <row r="248" spans="1:13" x14ac:dyDescent="0.3">
      <c r="A248" s="4" t="s">
        <v>746</v>
      </c>
      <c r="B248" s="4">
        <v>14</v>
      </c>
      <c r="C248" s="4">
        <v>41607570</v>
      </c>
      <c r="D248" s="4">
        <v>41904549</v>
      </c>
      <c r="E248" s="4">
        <v>4.5212719999999998E-2</v>
      </c>
      <c r="F248" s="4" t="s">
        <v>747</v>
      </c>
      <c r="G248" s="4" t="s">
        <v>748</v>
      </c>
      <c r="H248" s="5">
        <v>5.6976843916666693E-2</v>
      </c>
      <c r="I248" s="5">
        <v>0.18582606999999995</v>
      </c>
      <c r="J248" s="5">
        <v>-0.52288034999999999</v>
      </c>
      <c r="K248" s="5">
        <v>0.30367633333333338</v>
      </c>
      <c r="L248" s="6">
        <f t="shared" si="6"/>
        <v>-0.12884922608333327</v>
      </c>
      <c r="M248" s="6">
        <f t="shared" si="7"/>
        <v>-0.82655668333333332</v>
      </c>
    </row>
    <row r="249" spans="1:13" x14ac:dyDescent="0.3">
      <c r="A249" s="4" t="s">
        <v>749</v>
      </c>
      <c r="B249" s="4">
        <v>14</v>
      </c>
      <c r="C249" s="4">
        <v>54842008</v>
      </c>
      <c r="D249" s="4">
        <v>54902852</v>
      </c>
      <c r="E249" s="4">
        <v>7.5481454999999998E-3</v>
      </c>
      <c r="F249" s="4" t="s">
        <v>750</v>
      </c>
      <c r="G249" s="4" t="s">
        <v>751</v>
      </c>
      <c r="H249" s="5">
        <v>2.816831225</v>
      </c>
      <c r="I249" s="5">
        <v>1.3750819300000001</v>
      </c>
      <c r="J249" s="5">
        <v>3.8321734666666671</v>
      </c>
      <c r="K249" s="5">
        <v>1.8486774333333333</v>
      </c>
      <c r="L249" s="6">
        <f t="shared" si="6"/>
        <v>1.4417492949999999</v>
      </c>
      <c r="M249" s="6">
        <f t="shared" si="7"/>
        <v>1.9834960333333338</v>
      </c>
    </row>
    <row r="250" spans="1:13" x14ac:dyDescent="0.3">
      <c r="A250" s="4" t="s">
        <v>752</v>
      </c>
      <c r="B250" s="4">
        <v>14</v>
      </c>
      <c r="C250" s="4">
        <v>61187559</v>
      </c>
      <c r="D250" s="4">
        <v>61550976</v>
      </c>
      <c r="E250" s="4">
        <v>1.1223995E-3</v>
      </c>
      <c r="F250" s="4" t="s">
        <v>753</v>
      </c>
      <c r="G250" s="4" t="s">
        <v>754</v>
      </c>
      <c r="H250" s="5">
        <v>4.2641346708333341</v>
      </c>
      <c r="I250" s="5">
        <v>3.1731326124999999</v>
      </c>
      <c r="J250" s="5">
        <v>4.8465918500000003</v>
      </c>
      <c r="K250" s="5">
        <v>3.7718813</v>
      </c>
      <c r="L250" s="6">
        <f t="shared" si="6"/>
        <v>1.0910020583333342</v>
      </c>
      <c r="M250" s="6">
        <f t="shared" si="7"/>
        <v>1.0747105500000003</v>
      </c>
    </row>
    <row r="251" spans="1:13" x14ac:dyDescent="0.3">
      <c r="A251" s="4" t="s">
        <v>755</v>
      </c>
      <c r="B251" s="4">
        <v>14</v>
      </c>
      <c r="C251" s="4">
        <v>75522425</v>
      </c>
      <c r="D251" s="4">
        <v>75547015</v>
      </c>
      <c r="E251" s="4">
        <v>1.77772E-2</v>
      </c>
      <c r="F251" s="4" t="s">
        <v>756</v>
      </c>
      <c r="G251" s="4" t="s">
        <v>757</v>
      </c>
      <c r="H251" s="5">
        <v>0.3593644840416666</v>
      </c>
      <c r="I251" s="5">
        <v>-1.3706411175</v>
      </c>
      <c r="J251" s="5">
        <v>1.8042539316666666</v>
      </c>
      <c r="K251" s="5">
        <v>0.79868857666666671</v>
      </c>
      <c r="L251" s="6">
        <f t="shared" si="6"/>
        <v>1.7300056015416665</v>
      </c>
      <c r="M251" s="6">
        <f t="shared" si="7"/>
        <v>1.0055653549999999</v>
      </c>
    </row>
    <row r="252" spans="1:13" x14ac:dyDescent="0.3">
      <c r="A252" s="4" t="s">
        <v>758</v>
      </c>
      <c r="B252" s="4">
        <v>14</v>
      </c>
      <c r="C252" s="4">
        <v>91271323</v>
      </c>
      <c r="D252" s="4">
        <v>91417844</v>
      </c>
      <c r="E252" s="4">
        <v>4.1277990000000001E-2</v>
      </c>
      <c r="F252" s="4" t="s">
        <v>759</v>
      </c>
      <c r="G252" s="4" t="s">
        <v>760</v>
      </c>
      <c r="H252" s="5">
        <v>4.5037036833333346</v>
      </c>
      <c r="I252" s="5">
        <v>3.6692682125</v>
      </c>
      <c r="J252" s="5">
        <v>5.5246636666666662</v>
      </c>
      <c r="K252" s="5">
        <v>3.7654190333333335</v>
      </c>
      <c r="L252" s="6">
        <f t="shared" si="6"/>
        <v>0.83443547083333458</v>
      </c>
      <c r="M252" s="6">
        <f t="shared" si="7"/>
        <v>1.7592446333333327</v>
      </c>
    </row>
    <row r="253" spans="1:13" x14ac:dyDescent="0.3">
      <c r="A253" s="4" t="s">
        <v>761</v>
      </c>
      <c r="B253" s="4">
        <v>14</v>
      </c>
      <c r="C253" s="4">
        <v>100725705</v>
      </c>
      <c r="D253" s="4">
        <v>100738224</v>
      </c>
      <c r="E253" s="7">
        <v>1.2111258000000001E-5</v>
      </c>
      <c r="F253" s="4" t="s">
        <v>762</v>
      </c>
      <c r="G253" s="4" t="s">
        <v>763</v>
      </c>
      <c r="H253" s="5">
        <v>-4.0477683249999998</v>
      </c>
      <c r="I253" s="5">
        <v>-2.4995058874999998</v>
      </c>
      <c r="J253" s="5">
        <v>-4.5412210333333327</v>
      </c>
      <c r="K253" s="5">
        <v>-2.6969793133333333</v>
      </c>
      <c r="L253" s="6">
        <f t="shared" si="6"/>
        <v>-1.5482624375</v>
      </c>
      <c r="M253" s="6">
        <f t="shared" si="7"/>
        <v>-1.8442417199999994</v>
      </c>
    </row>
    <row r="254" spans="1:13" x14ac:dyDescent="0.3">
      <c r="A254" s="4" t="s">
        <v>764</v>
      </c>
      <c r="B254" s="4">
        <v>14</v>
      </c>
      <c r="C254" s="4">
        <v>105049389</v>
      </c>
      <c r="D254" s="4">
        <v>105065445</v>
      </c>
      <c r="E254" s="4">
        <v>3.4001156999999997E-2</v>
      </c>
      <c r="F254" s="4" t="s">
        <v>765</v>
      </c>
      <c r="G254" s="4" t="s">
        <v>766</v>
      </c>
      <c r="H254" s="5">
        <v>1.3034937799999999</v>
      </c>
      <c r="I254" s="5">
        <v>1.4711638749999978E-2</v>
      </c>
      <c r="J254" s="5">
        <v>2.3436304666666667</v>
      </c>
      <c r="K254" s="5">
        <v>0.53512863333333338</v>
      </c>
      <c r="L254" s="6">
        <f t="shared" si="6"/>
        <v>1.28878214125</v>
      </c>
      <c r="M254" s="6">
        <f t="shared" si="7"/>
        <v>1.8085018333333334</v>
      </c>
    </row>
    <row r="255" spans="1:13" x14ac:dyDescent="0.3">
      <c r="A255" s="4" t="s">
        <v>767</v>
      </c>
      <c r="B255" s="4">
        <v>15</v>
      </c>
      <c r="C255" s="4">
        <v>38488103</v>
      </c>
      <c r="D255" s="4">
        <v>38565575</v>
      </c>
      <c r="E255" s="4">
        <v>1.9326304999999998E-2</v>
      </c>
      <c r="F255" s="4" t="s">
        <v>768</v>
      </c>
      <c r="G255" s="4" t="s">
        <v>769</v>
      </c>
      <c r="H255" s="5">
        <v>4.1883559374999999</v>
      </c>
      <c r="I255" s="5">
        <v>2.9567959250000007</v>
      </c>
      <c r="J255" s="5">
        <v>5.0150612666666659</v>
      </c>
      <c r="K255" s="5">
        <v>2.9036542000000001</v>
      </c>
      <c r="L255" s="6">
        <f t="shared" si="6"/>
        <v>1.2315600124999992</v>
      </c>
      <c r="M255" s="6">
        <f t="shared" si="7"/>
        <v>2.1114070666666658</v>
      </c>
    </row>
    <row r="256" spans="1:13" x14ac:dyDescent="0.3">
      <c r="A256" s="4" t="s">
        <v>770</v>
      </c>
      <c r="B256" s="4">
        <v>15</v>
      </c>
      <c r="C256" s="4">
        <v>43123279</v>
      </c>
      <c r="D256" s="4">
        <v>43185146</v>
      </c>
      <c r="E256" s="4">
        <v>4.1277990000000001E-2</v>
      </c>
      <c r="F256" s="4" t="s">
        <v>771</v>
      </c>
      <c r="G256" s="4" t="s">
        <v>772</v>
      </c>
      <c r="H256" s="5">
        <v>3.9619090249999993</v>
      </c>
      <c r="I256" s="5">
        <v>3.1161174374999998</v>
      </c>
      <c r="J256" s="5">
        <v>4.205529283333334</v>
      </c>
      <c r="K256" s="5">
        <v>3.3279894333333337</v>
      </c>
      <c r="L256" s="6">
        <f t="shared" si="6"/>
        <v>0.8457915874999995</v>
      </c>
      <c r="M256" s="6">
        <f t="shared" si="7"/>
        <v>0.87753985000000023</v>
      </c>
    </row>
    <row r="257" spans="1:13" x14ac:dyDescent="0.3">
      <c r="A257" s="4" t="s">
        <v>773</v>
      </c>
      <c r="B257" s="4">
        <v>15</v>
      </c>
      <c r="C257" s="4">
        <v>43185118</v>
      </c>
      <c r="D257" s="4">
        <v>43197176</v>
      </c>
      <c r="E257" s="4">
        <v>4.7154034999999997E-2</v>
      </c>
      <c r="F257" s="4" t="s">
        <v>774</v>
      </c>
      <c r="G257" s="4" t="s">
        <v>775</v>
      </c>
      <c r="H257" s="5">
        <v>4.086931837499999</v>
      </c>
      <c r="I257" s="5">
        <v>3.8041481999999998</v>
      </c>
      <c r="J257" s="5">
        <v>4.2761481000000003</v>
      </c>
      <c r="K257" s="5">
        <v>3.9762579666666666</v>
      </c>
      <c r="L257" s="6">
        <f t="shared" si="6"/>
        <v>0.28278363749999924</v>
      </c>
      <c r="M257" s="6">
        <f t="shared" si="7"/>
        <v>0.2998901333333337</v>
      </c>
    </row>
    <row r="258" spans="1:13" x14ac:dyDescent="0.3">
      <c r="A258" s="4" t="s">
        <v>776</v>
      </c>
      <c r="B258" s="4">
        <v>15</v>
      </c>
      <c r="C258" s="4">
        <v>44665732</v>
      </c>
      <c r="D258" s="4">
        <v>44711316</v>
      </c>
      <c r="E258" s="4">
        <v>3.4314020000000001E-2</v>
      </c>
      <c r="F258" s="4" t="s">
        <v>777</v>
      </c>
      <c r="G258" s="4" t="s">
        <v>778</v>
      </c>
      <c r="H258" s="5">
        <v>2.351956157333333</v>
      </c>
      <c r="I258" s="5">
        <v>0.97976369249999995</v>
      </c>
      <c r="J258" s="5">
        <v>3.2934608500000002</v>
      </c>
      <c r="K258" s="5">
        <v>0.84978393333333335</v>
      </c>
      <c r="L258" s="6">
        <f t="shared" si="6"/>
        <v>1.372192464833333</v>
      </c>
      <c r="M258" s="6">
        <f t="shared" si="7"/>
        <v>2.443676916666667</v>
      </c>
    </row>
    <row r="259" spans="1:13" x14ac:dyDescent="0.3">
      <c r="A259" s="4" t="s">
        <v>779</v>
      </c>
      <c r="B259" s="4">
        <v>15</v>
      </c>
      <c r="C259" s="4">
        <v>45631148</v>
      </c>
      <c r="D259" s="4">
        <v>45691294</v>
      </c>
      <c r="E259" s="4">
        <v>1.74237E-2</v>
      </c>
      <c r="F259" s="4" t="s">
        <v>780</v>
      </c>
      <c r="G259" s="4" t="s">
        <v>781</v>
      </c>
      <c r="H259" s="5">
        <v>3.5547168166666663</v>
      </c>
      <c r="I259" s="5">
        <v>2.5088594075000001</v>
      </c>
      <c r="J259" s="5">
        <v>4.2986361833333335</v>
      </c>
      <c r="K259" s="5">
        <v>3.3446163333333332</v>
      </c>
      <c r="L259" s="6">
        <f t="shared" si="6"/>
        <v>1.0458574091666661</v>
      </c>
      <c r="M259" s="6">
        <f t="shared" si="7"/>
        <v>0.95401985000000034</v>
      </c>
    </row>
    <row r="260" spans="1:13" x14ac:dyDescent="0.3">
      <c r="A260" s="4" t="s">
        <v>782</v>
      </c>
      <c r="B260" s="4">
        <v>15</v>
      </c>
      <c r="C260" s="4">
        <v>57953424</v>
      </c>
      <c r="D260" s="4">
        <v>58497866</v>
      </c>
      <c r="E260" s="4">
        <v>8.9456329999999997E-3</v>
      </c>
      <c r="F260" s="4" t="s">
        <v>783</v>
      </c>
      <c r="G260" s="4" t="s">
        <v>784</v>
      </c>
      <c r="H260" s="5">
        <v>0.72609273845833322</v>
      </c>
      <c r="I260" s="5">
        <v>1.8311391611624999</v>
      </c>
      <c r="J260" s="5">
        <v>1.2429016964999999</v>
      </c>
      <c r="K260" s="5">
        <v>1.0296570999999999</v>
      </c>
      <c r="L260" s="6">
        <f t="shared" si="6"/>
        <v>-1.1050464227041665</v>
      </c>
      <c r="M260" s="6">
        <f t="shared" si="7"/>
        <v>0.21324459650000005</v>
      </c>
    </row>
    <row r="261" spans="1:13" x14ac:dyDescent="0.3">
      <c r="A261" s="4" t="s">
        <v>785</v>
      </c>
      <c r="B261" s="4">
        <v>15</v>
      </c>
      <c r="C261" s="4">
        <v>65327127</v>
      </c>
      <c r="D261" s="4">
        <v>65378040</v>
      </c>
      <c r="E261" s="4">
        <v>7.5481454999999998E-3</v>
      </c>
      <c r="F261" s="4" t="s">
        <v>786</v>
      </c>
      <c r="G261" s="4" t="s">
        <v>787</v>
      </c>
      <c r="H261" s="5">
        <v>-3.1960997683333332</v>
      </c>
      <c r="I261" s="5">
        <v>-1.9360315625</v>
      </c>
      <c r="J261" s="5">
        <v>-4.1825538499999997</v>
      </c>
      <c r="K261" s="5">
        <v>-2.6387382000000001</v>
      </c>
      <c r="L261" s="6">
        <f t="shared" ref="L261:L324" si="8">H261-I261</f>
        <v>-1.2600682058333332</v>
      </c>
      <c r="M261" s="6">
        <f t="shared" ref="M261:M324" si="9">J261-K261</f>
        <v>-1.5438156499999995</v>
      </c>
    </row>
    <row r="262" spans="1:13" x14ac:dyDescent="0.3">
      <c r="A262" s="4" t="s">
        <v>788</v>
      </c>
      <c r="B262" s="4">
        <v>15</v>
      </c>
      <c r="C262" s="4">
        <v>65381464</v>
      </c>
      <c r="D262" s="4">
        <v>65423072</v>
      </c>
      <c r="E262" s="4">
        <v>9.5714289999999994E-3</v>
      </c>
      <c r="F262" s="4" t="s">
        <v>789</v>
      </c>
      <c r="G262" s="4" t="s">
        <v>790</v>
      </c>
      <c r="H262" s="5">
        <v>1.7934219843750003</v>
      </c>
      <c r="I262" s="5">
        <v>3.2465824000000003</v>
      </c>
      <c r="J262" s="5">
        <v>1.5196630566666667</v>
      </c>
      <c r="K262" s="5">
        <v>3.5605963666666667</v>
      </c>
      <c r="L262" s="6">
        <f t="shared" si="8"/>
        <v>-1.453160415625</v>
      </c>
      <c r="M262" s="6">
        <f t="shared" si="9"/>
        <v>-2.0409333099999998</v>
      </c>
    </row>
    <row r="263" spans="1:13" x14ac:dyDescent="0.3">
      <c r="A263" s="4" t="s">
        <v>791</v>
      </c>
      <c r="B263" s="4">
        <v>15</v>
      </c>
      <c r="C263" s="4">
        <v>74179466</v>
      </c>
      <c r="D263" s="4">
        <v>74212267</v>
      </c>
      <c r="E263" s="4">
        <v>1.7473638E-2</v>
      </c>
      <c r="F263" s="4" t="s">
        <v>792</v>
      </c>
      <c r="G263" s="4" t="s">
        <v>793</v>
      </c>
      <c r="H263" s="5">
        <v>2.1036874393750007</v>
      </c>
      <c r="I263" s="5">
        <v>2.3118008262499998</v>
      </c>
      <c r="J263" s="5">
        <v>1.4968560733333334</v>
      </c>
      <c r="K263" s="5">
        <v>1.9276412629999999</v>
      </c>
      <c r="L263" s="6">
        <f t="shared" si="8"/>
        <v>-0.20811338687499914</v>
      </c>
      <c r="M263" s="6">
        <f t="shared" si="9"/>
        <v>-0.43078518966666657</v>
      </c>
    </row>
    <row r="264" spans="1:13" x14ac:dyDescent="0.3">
      <c r="A264" s="4" t="s">
        <v>794</v>
      </c>
      <c r="B264" s="4">
        <v>15</v>
      </c>
      <c r="C264" s="4">
        <v>75463251</v>
      </c>
      <c r="D264" s="4">
        <v>75579289</v>
      </c>
      <c r="E264" s="4">
        <v>3.3286702000000001E-2</v>
      </c>
      <c r="F264" s="4" t="s">
        <v>795</v>
      </c>
      <c r="G264" s="4" t="s">
        <v>796</v>
      </c>
      <c r="H264" s="5">
        <v>4.4752930916666669</v>
      </c>
      <c r="I264" s="5">
        <v>4.7623385749999994</v>
      </c>
      <c r="J264" s="5">
        <v>4.6238443000000009</v>
      </c>
      <c r="K264" s="5">
        <v>4.7464144666666668</v>
      </c>
      <c r="L264" s="6">
        <f t="shared" si="8"/>
        <v>-0.28704548333333246</v>
      </c>
      <c r="M264" s="6">
        <f t="shared" si="9"/>
        <v>-0.12257016666666587</v>
      </c>
    </row>
    <row r="265" spans="1:13" x14ac:dyDescent="0.3">
      <c r="A265" s="4" t="s">
        <v>797</v>
      </c>
      <c r="B265" s="4">
        <v>15</v>
      </c>
      <c r="C265" s="4">
        <v>78340324</v>
      </c>
      <c r="D265" s="4">
        <v>78348230</v>
      </c>
      <c r="E265" s="4">
        <v>6.1228693999999997E-3</v>
      </c>
      <c r="F265" s="4" t="s">
        <v>798</v>
      </c>
      <c r="G265" s="4" t="s">
        <v>799</v>
      </c>
      <c r="H265" s="5">
        <v>-2.7451692708333333</v>
      </c>
      <c r="I265" s="5">
        <v>-2.3591380874999999</v>
      </c>
      <c r="J265" s="5">
        <v>-4.0597261666666666</v>
      </c>
      <c r="K265" s="5">
        <v>-1.9276051599999999</v>
      </c>
      <c r="L265" s="6">
        <f t="shared" si="8"/>
        <v>-0.38603118333333342</v>
      </c>
      <c r="M265" s="6">
        <f t="shared" si="9"/>
        <v>-2.1321210066666669</v>
      </c>
    </row>
    <row r="266" spans="1:13" x14ac:dyDescent="0.3">
      <c r="A266" s="4" t="s">
        <v>800</v>
      </c>
      <c r="B266" s="4">
        <v>15</v>
      </c>
      <c r="C266" s="4">
        <v>94231538</v>
      </c>
      <c r="D266" s="4">
        <v>94483952</v>
      </c>
      <c r="E266" s="4">
        <v>3.3290736000000001E-2</v>
      </c>
      <c r="F266" s="4" t="s">
        <v>801</v>
      </c>
      <c r="G266" s="4" t="s">
        <v>802</v>
      </c>
      <c r="H266" s="5">
        <v>3.8420922387500003</v>
      </c>
      <c r="I266" s="5">
        <v>2.4582541499999997</v>
      </c>
      <c r="J266" s="5">
        <v>4.2561000166666672</v>
      </c>
      <c r="K266" s="5">
        <v>3.4417247666666664</v>
      </c>
      <c r="L266" s="6">
        <f t="shared" si="8"/>
        <v>1.3838380887500006</v>
      </c>
      <c r="M266" s="6">
        <f t="shared" si="9"/>
        <v>0.81437525000000077</v>
      </c>
    </row>
    <row r="267" spans="1:13" x14ac:dyDescent="0.3">
      <c r="A267" s="4" t="s">
        <v>803</v>
      </c>
      <c r="B267" s="4">
        <v>16</v>
      </c>
      <c r="C267" s="4">
        <v>425619</v>
      </c>
      <c r="D267" s="4">
        <v>523011</v>
      </c>
      <c r="E267" s="4">
        <v>1.9326304999999998E-2</v>
      </c>
      <c r="F267" s="4" t="s">
        <v>804</v>
      </c>
      <c r="G267" s="4" t="s">
        <v>805</v>
      </c>
      <c r="H267" s="5">
        <v>4.001532375</v>
      </c>
      <c r="I267" s="5">
        <v>4.3338169375</v>
      </c>
      <c r="J267" s="5">
        <v>3.7916663499999999</v>
      </c>
      <c r="K267" s="5">
        <v>3.9908643000000001</v>
      </c>
      <c r="L267" s="6">
        <f t="shared" si="8"/>
        <v>-0.33228456249999994</v>
      </c>
      <c r="M267" s="6">
        <f t="shared" si="9"/>
        <v>-0.19919795000000029</v>
      </c>
    </row>
    <row r="268" spans="1:13" x14ac:dyDescent="0.3">
      <c r="A268" s="4" t="s">
        <v>806</v>
      </c>
      <c r="B268" s="4">
        <v>16</v>
      </c>
      <c r="C268" s="4">
        <v>3065297</v>
      </c>
      <c r="D268" s="4">
        <v>3082192</v>
      </c>
      <c r="E268" s="4">
        <v>1.7473638E-2</v>
      </c>
      <c r="F268" s="4" t="s">
        <v>807</v>
      </c>
      <c r="G268" s="4" t="s">
        <v>808</v>
      </c>
      <c r="H268" s="5">
        <v>2.3956257949999995</v>
      </c>
      <c r="I268" s="5">
        <v>0.87133640374999999</v>
      </c>
      <c r="J268" s="5">
        <v>3.3040494666666667</v>
      </c>
      <c r="K268" s="5">
        <v>1.6870217666666667</v>
      </c>
      <c r="L268" s="6">
        <f t="shared" si="8"/>
        <v>1.5242893912499995</v>
      </c>
      <c r="M268" s="6">
        <f t="shared" si="9"/>
        <v>1.6170277</v>
      </c>
    </row>
    <row r="269" spans="1:13" x14ac:dyDescent="0.3">
      <c r="A269" s="4" t="s">
        <v>809</v>
      </c>
      <c r="B269" s="4">
        <v>16</v>
      </c>
      <c r="C269" s="4">
        <v>3539033</v>
      </c>
      <c r="D269" s="4">
        <v>3577400</v>
      </c>
      <c r="E269" s="4">
        <v>3.8380409999999997E-2</v>
      </c>
      <c r="F269" s="4" t="s">
        <v>810</v>
      </c>
      <c r="G269" s="4" t="s">
        <v>811</v>
      </c>
      <c r="H269" s="5">
        <v>2.9033387083333331</v>
      </c>
      <c r="I269" s="5">
        <v>1.9155906899999999</v>
      </c>
      <c r="J269" s="5">
        <v>3.89222395</v>
      </c>
      <c r="K269" s="5">
        <v>1.6360595666666666</v>
      </c>
      <c r="L269" s="6">
        <f t="shared" si="8"/>
        <v>0.98774801833333314</v>
      </c>
      <c r="M269" s="6">
        <f t="shared" si="9"/>
        <v>2.2561643833333331</v>
      </c>
    </row>
    <row r="270" spans="1:13" x14ac:dyDescent="0.3">
      <c r="A270" s="4" t="s">
        <v>812</v>
      </c>
      <c r="B270" s="4">
        <v>16</v>
      </c>
      <c r="C270" s="4">
        <v>10877198</v>
      </c>
      <c r="D270" s="4">
        <v>10932281</v>
      </c>
      <c r="E270" s="4">
        <v>4.1277990000000001E-2</v>
      </c>
      <c r="F270" s="4" t="s">
        <v>813</v>
      </c>
      <c r="G270" s="4" t="s">
        <v>814</v>
      </c>
      <c r="H270" s="5">
        <v>5.7885172833333334</v>
      </c>
      <c r="I270" s="5">
        <v>4.5064622750000005</v>
      </c>
      <c r="J270" s="5">
        <v>6.4342415833333328</v>
      </c>
      <c r="K270" s="5">
        <v>5.0925557333333336</v>
      </c>
      <c r="L270" s="6">
        <f t="shared" si="8"/>
        <v>1.2820550083333329</v>
      </c>
      <c r="M270" s="6">
        <f t="shared" si="9"/>
        <v>1.3416858499999993</v>
      </c>
    </row>
    <row r="271" spans="1:13" x14ac:dyDescent="0.3">
      <c r="A271" s="4" t="s">
        <v>815</v>
      </c>
      <c r="B271" s="4">
        <v>16</v>
      </c>
      <c r="C271" s="4">
        <v>30472658</v>
      </c>
      <c r="D271" s="4">
        <v>30523185</v>
      </c>
      <c r="E271" s="4">
        <v>2.1820616000000001E-2</v>
      </c>
      <c r="F271" s="4" t="s">
        <v>816</v>
      </c>
      <c r="G271" s="4" t="s">
        <v>817</v>
      </c>
      <c r="H271" s="5">
        <v>4.6340177166666665</v>
      </c>
      <c r="I271" s="5">
        <v>3.3062159125000004</v>
      </c>
      <c r="J271" s="5">
        <v>5.6774293166666672</v>
      </c>
      <c r="K271" s="5">
        <v>3.3265052666666666</v>
      </c>
      <c r="L271" s="6">
        <f t="shared" si="8"/>
        <v>1.3278018041666662</v>
      </c>
      <c r="M271" s="6">
        <f t="shared" si="9"/>
        <v>2.3509240500000006</v>
      </c>
    </row>
    <row r="272" spans="1:13" x14ac:dyDescent="0.3">
      <c r="A272" s="4" t="s">
        <v>818</v>
      </c>
      <c r="B272" s="4">
        <v>16</v>
      </c>
      <c r="C272" s="4">
        <v>56865207</v>
      </c>
      <c r="D272" s="4">
        <v>56915850</v>
      </c>
      <c r="E272" s="4">
        <v>4.5056693000000002E-2</v>
      </c>
      <c r="F272" s="4" t="s">
        <v>819</v>
      </c>
      <c r="G272" s="4" t="s">
        <v>820</v>
      </c>
      <c r="H272" s="5">
        <v>-0.62463618179166669</v>
      </c>
      <c r="I272" s="5">
        <v>-1.6764916274999999</v>
      </c>
      <c r="J272" s="5">
        <v>1.4209636666666665</v>
      </c>
      <c r="K272" s="5">
        <v>-1.6239401840000003</v>
      </c>
      <c r="L272" s="6">
        <f t="shared" si="8"/>
        <v>1.0518554457083331</v>
      </c>
      <c r="M272" s="6">
        <f t="shared" si="9"/>
        <v>3.0449038506666666</v>
      </c>
    </row>
    <row r="273" spans="1:13" x14ac:dyDescent="0.3">
      <c r="A273" s="4" t="s">
        <v>821</v>
      </c>
      <c r="B273" s="4">
        <v>16</v>
      </c>
      <c r="C273" s="4">
        <v>56989485</v>
      </c>
      <c r="D273" s="4">
        <v>57083531</v>
      </c>
      <c r="E273" s="4">
        <v>1.4841062E-2</v>
      </c>
      <c r="F273" s="4" t="s">
        <v>822</v>
      </c>
      <c r="G273" s="4" t="s">
        <v>823</v>
      </c>
      <c r="H273" s="5">
        <v>5.8476086250000003</v>
      </c>
      <c r="I273" s="5">
        <v>4.673544624999999</v>
      </c>
      <c r="J273" s="5">
        <v>6.5249172333333334</v>
      </c>
      <c r="K273" s="5">
        <v>5.2382784999999998</v>
      </c>
      <c r="L273" s="6">
        <f t="shared" si="8"/>
        <v>1.1740640000000013</v>
      </c>
      <c r="M273" s="6">
        <f t="shared" si="9"/>
        <v>1.2866387333333336</v>
      </c>
    </row>
    <row r="274" spans="1:13" x14ac:dyDescent="0.3">
      <c r="A274" s="4" t="s">
        <v>824</v>
      </c>
      <c r="B274" s="4">
        <v>16</v>
      </c>
      <c r="C274" s="4">
        <v>57542421</v>
      </c>
      <c r="D274" s="4">
        <v>57591681</v>
      </c>
      <c r="E274" s="4">
        <v>7.5481454999999998E-3</v>
      </c>
      <c r="F274" s="4" t="s">
        <v>825</v>
      </c>
      <c r="G274" s="4" t="s">
        <v>826</v>
      </c>
      <c r="H274" s="5">
        <v>0.59535274916666669</v>
      </c>
      <c r="I274" s="5">
        <v>-1.7121387749999999</v>
      </c>
      <c r="J274" s="5">
        <v>1.4853975666666666</v>
      </c>
      <c r="K274" s="5">
        <v>-1.5079657</v>
      </c>
      <c r="L274" s="6">
        <f t="shared" si="8"/>
        <v>2.3074915241666667</v>
      </c>
      <c r="M274" s="6">
        <f t="shared" si="9"/>
        <v>2.9933632666666665</v>
      </c>
    </row>
    <row r="275" spans="1:13" x14ac:dyDescent="0.3">
      <c r="A275" s="4" t="s">
        <v>827</v>
      </c>
      <c r="B275" s="4">
        <v>16</v>
      </c>
      <c r="C275" s="4">
        <v>67644919</v>
      </c>
      <c r="D275" s="4">
        <v>67657569</v>
      </c>
      <c r="E275" s="4">
        <v>4.5874454000000002E-2</v>
      </c>
      <c r="F275" s="4" t="s">
        <v>828</v>
      </c>
      <c r="G275" s="4" t="s">
        <v>829</v>
      </c>
      <c r="H275" s="5">
        <v>2.1640528787500002</v>
      </c>
      <c r="I275" s="5">
        <v>1.0934521112500002</v>
      </c>
      <c r="J275" s="5">
        <v>3.1625791333333333</v>
      </c>
      <c r="K275" s="5">
        <v>1.0812189566666666</v>
      </c>
      <c r="L275" s="6">
        <f t="shared" si="8"/>
        <v>1.0706007675</v>
      </c>
      <c r="M275" s="6">
        <f t="shared" si="9"/>
        <v>2.0813601766666667</v>
      </c>
    </row>
    <row r="276" spans="1:13" x14ac:dyDescent="0.3">
      <c r="A276" s="4" t="s">
        <v>830</v>
      </c>
      <c r="B276" s="4">
        <v>16</v>
      </c>
      <c r="C276" s="4">
        <v>81739097</v>
      </c>
      <c r="D276" s="4">
        <v>81962693</v>
      </c>
      <c r="E276" s="4">
        <v>3.151201E-2</v>
      </c>
      <c r="F276" s="4" t="s">
        <v>831</v>
      </c>
      <c r="G276" s="4" t="s">
        <v>832</v>
      </c>
      <c r="H276" s="5">
        <v>4.5787680791666672</v>
      </c>
      <c r="I276" s="5">
        <v>3.5871900499999998</v>
      </c>
      <c r="J276" s="5">
        <v>5.0724236666666664</v>
      </c>
      <c r="K276" s="5">
        <v>4.3071336000000002</v>
      </c>
      <c r="L276" s="6">
        <f t="shared" si="8"/>
        <v>0.99157802916666737</v>
      </c>
      <c r="M276" s="6">
        <f t="shared" si="9"/>
        <v>0.76529006666666621</v>
      </c>
    </row>
    <row r="277" spans="1:13" x14ac:dyDescent="0.3">
      <c r="A277" s="4" t="s">
        <v>833</v>
      </c>
      <c r="B277" s="4">
        <v>16</v>
      </c>
      <c r="C277" s="4">
        <v>85898803</v>
      </c>
      <c r="D277" s="4">
        <v>85922609</v>
      </c>
      <c r="E277" s="4">
        <v>3.5290166999999997E-2</v>
      </c>
      <c r="F277" s="4" t="s">
        <v>834</v>
      </c>
      <c r="G277" s="4" t="s">
        <v>835</v>
      </c>
      <c r="H277" s="5">
        <v>3.9517708458333338</v>
      </c>
      <c r="I277" s="5">
        <v>3.0507296249999998</v>
      </c>
      <c r="J277" s="5">
        <v>4.9437466166666661</v>
      </c>
      <c r="K277" s="5">
        <v>3.3696047</v>
      </c>
      <c r="L277" s="6">
        <f t="shared" si="8"/>
        <v>0.90104122083333404</v>
      </c>
      <c r="M277" s="6">
        <f t="shared" si="9"/>
        <v>1.5741419166666661</v>
      </c>
    </row>
    <row r="278" spans="1:13" x14ac:dyDescent="0.3">
      <c r="A278" s="4" t="s">
        <v>836</v>
      </c>
      <c r="B278" s="4">
        <v>17</v>
      </c>
      <c r="C278" s="4">
        <v>3672199</v>
      </c>
      <c r="D278" s="4">
        <v>3696404</v>
      </c>
      <c r="E278" s="4">
        <v>3.7086290000000001E-2</v>
      </c>
      <c r="F278" s="4" t="s">
        <v>837</v>
      </c>
      <c r="G278" s="4" t="s">
        <v>838</v>
      </c>
      <c r="H278" s="5">
        <v>2.1534658858333331</v>
      </c>
      <c r="I278" s="5">
        <v>1.1811551112499998</v>
      </c>
      <c r="J278" s="5">
        <v>3.5255278000000003</v>
      </c>
      <c r="K278" s="5">
        <v>0.4723135633333333</v>
      </c>
      <c r="L278" s="6">
        <f t="shared" si="8"/>
        <v>0.97231077458333326</v>
      </c>
      <c r="M278" s="6">
        <f t="shared" si="9"/>
        <v>3.0532142366666672</v>
      </c>
    </row>
    <row r="279" spans="1:13" x14ac:dyDescent="0.3">
      <c r="A279" s="4" t="s">
        <v>839</v>
      </c>
      <c r="B279" s="4">
        <v>17</v>
      </c>
      <c r="C279" s="4">
        <v>3896592</v>
      </c>
      <c r="D279" s="4">
        <v>3916500</v>
      </c>
      <c r="E279" s="4">
        <v>1.0117314000000001E-2</v>
      </c>
      <c r="F279" s="4" t="s">
        <v>840</v>
      </c>
      <c r="G279" s="4" t="s">
        <v>841</v>
      </c>
      <c r="H279" s="5">
        <v>1.1281146170833332</v>
      </c>
      <c r="I279" s="5">
        <v>-0.63684552037499997</v>
      </c>
      <c r="J279" s="5">
        <v>1.9353547333333332</v>
      </c>
      <c r="K279" s="5">
        <v>0.3956910666666667</v>
      </c>
      <c r="L279" s="6">
        <f t="shared" si="8"/>
        <v>1.764960137458333</v>
      </c>
      <c r="M279" s="6">
        <f t="shared" si="9"/>
        <v>1.5396636666666665</v>
      </c>
    </row>
    <row r="280" spans="1:13" x14ac:dyDescent="0.3">
      <c r="A280" s="4" t="s">
        <v>842</v>
      </c>
      <c r="B280" s="4">
        <v>17</v>
      </c>
      <c r="C280" s="4">
        <v>7336529</v>
      </c>
      <c r="D280" s="4">
        <v>7351478</v>
      </c>
      <c r="E280" s="4">
        <v>4.2410086999999999E-2</v>
      </c>
      <c r="F280" s="4" t="s">
        <v>843</v>
      </c>
      <c r="G280" s="4" t="s">
        <v>844</v>
      </c>
      <c r="H280" s="5">
        <v>3.5389010916666663</v>
      </c>
      <c r="I280" s="5">
        <v>2.4410585124999997</v>
      </c>
      <c r="J280" s="5">
        <v>4.1832062500000005</v>
      </c>
      <c r="K280" s="5">
        <v>2.3422660666666668</v>
      </c>
      <c r="L280" s="6">
        <f t="shared" si="8"/>
        <v>1.0978425791666666</v>
      </c>
      <c r="M280" s="6">
        <f t="shared" si="9"/>
        <v>1.8409401833333336</v>
      </c>
    </row>
    <row r="281" spans="1:13" x14ac:dyDescent="0.3">
      <c r="A281" s="4" t="s">
        <v>845</v>
      </c>
      <c r="B281" s="4">
        <v>17</v>
      </c>
      <c r="C281" s="4">
        <v>14301083</v>
      </c>
      <c r="D281" s="4">
        <v>14349404</v>
      </c>
      <c r="E281" s="4">
        <v>4.3396990000000003E-2</v>
      </c>
      <c r="F281" s="4" t="s">
        <v>846</v>
      </c>
      <c r="G281" s="4" t="s">
        <v>847</v>
      </c>
      <c r="H281" s="5">
        <v>-0.8988488075833333</v>
      </c>
      <c r="I281" s="5">
        <v>-2.3518621350000002</v>
      </c>
      <c r="J281" s="5">
        <v>-0.11099171866666664</v>
      </c>
      <c r="K281" s="5">
        <v>-1.4289527166666669</v>
      </c>
      <c r="L281" s="6">
        <f t="shared" si="8"/>
        <v>1.453013327416667</v>
      </c>
      <c r="M281" s="6">
        <f t="shared" si="9"/>
        <v>1.3179609980000002</v>
      </c>
    </row>
    <row r="282" spans="1:13" x14ac:dyDescent="0.3">
      <c r="A282" s="4" t="s">
        <v>848</v>
      </c>
      <c r="B282" s="4">
        <v>17</v>
      </c>
      <c r="C282" s="4">
        <v>35435096</v>
      </c>
      <c r="D282" s="4">
        <v>35448837</v>
      </c>
      <c r="E282" s="4">
        <v>1.7030776000000001E-2</v>
      </c>
      <c r="F282" s="4" t="s">
        <v>849</v>
      </c>
      <c r="G282" s="4" t="s">
        <v>850</v>
      </c>
      <c r="H282" s="5">
        <v>3.4657765845833342</v>
      </c>
      <c r="I282" s="5">
        <v>2.2167318374999998</v>
      </c>
      <c r="J282" s="5">
        <v>4.0519743166666666</v>
      </c>
      <c r="K282" s="5">
        <v>2.4961261000000001</v>
      </c>
      <c r="L282" s="6">
        <f t="shared" si="8"/>
        <v>1.2490447470833344</v>
      </c>
      <c r="M282" s="6">
        <f t="shared" si="9"/>
        <v>1.5558482166666665</v>
      </c>
    </row>
    <row r="283" spans="1:13" x14ac:dyDescent="0.3">
      <c r="A283" s="4" t="s">
        <v>851</v>
      </c>
      <c r="B283" s="4">
        <v>17</v>
      </c>
      <c r="C283" s="4">
        <v>35464249</v>
      </c>
      <c r="D283" s="4">
        <v>35537861</v>
      </c>
      <c r="E283" s="4">
        <v>1.9868371999999999E-2</v>
      </c>
      <c r="F283" s="4" t="s">
        <v>852</v>
      </c>
      <c r="G283" s="4" t="s">
        <v>853</v>
      </c>
      <c r="H283" s="5">
        <v>3.4022783708333333</v>
      </c>
      <c r="I283" s="5">
        <v>2.0318482625000001</v>
      </c>
      <c r="J283" s="5">
        <v>4.4953105333333339</v>
      </c>
      <c r="K283" s="5">
        <v>2.0404190999999998</v>
      </c>
      <c r="L283" s="6">
        <f t="shared" si="8"/>
        <v>1.3704301083333332</v>
      </c>
      <c r="M283" s="6">
        <f t="shared" si="9"/>
        <v>2.454891433333334</v>
      </c>
    </row>
    <row r="284" spans="1:13" x14ac:dyDescent="0.3">
      <c r="A284" s="4" t="s">
        <v>854</v>
      </c>
      <c r="B284" s="4">
        <v>17</v>
      </c>
      <c r="C284" s="4">
        <v>35871491</v>
      </c>
      <c r="D284" s="4">
        <v>35880793</v>
      </c>
      <c r="E284" s="4">
        <v>1.7030776000000001E-2</v>
      </c>
      <c r="F284" s="4" t="s">
        <v>855</v>
      </c>
      <c r="G284" s="4" t="s">
        <v>856</v>
      </c>
      <c r="H284" s="5">
        <v>2.6283095041666669</v>
      </c>
      <c r="I284" s="5">
        <v>1.1970297000000001</v>
      </c>
      <c r="J284" s="5">
        <v>3.3104635999999998</v>
      </c>
      <c r="K284" s="5">
        <v>1.3684865000000002</v>
      </c>
      <c r="L284" s="6">
        <f t="shared" si="8"/>
        <v>1.4312798041666668</v>
      </c>
      <c r="M284" s="6">
        <f t="shared" si="9"/>
        <v>1.9419770999999997</v>
      </c>
    </row>
    <row r="285" spans="1:13" x14ac:dyDescent="0.3">
      <c r="A285" s="4" t="s">
        <v>857</v>
      </c>
      <c r="B285" s="4">
        <v>17</v>
      </c>
      <c r="C285" s="4">
        <v>36103590</v>
      </c>
      <c r="D285" s="4">
        <v>36105621</v>
      </c>
      <c r="E285" s="4">
        <v>4.3839756000000001E-2</v>
      </c>
      <c r="F285" s="4" t="s">
        <v>858</v>
      </c>
      <c r="G285" s="4" t="s">
        <v>859</v>
      </c>
      <c r="H285" s="5">
        <v>3.0372231608333333</v>
      </c>
      <c r="I285" s="5">
        <v>1.60960452875</v>
      </c>
      <c r="J285" s="5">
        <v>4.4808310833333334</v>
      </c>
      <c r="K285" s="5">
        <v>1.4295605</v>
      </c>
      <c r="L285" s="6">
        <f t="shared" si="8"/>
        <v>1.4276186320833333</v>
      </c>
      <c r="M285" s="6">
        <f t="shared" si="9"/>
        <v>3.0512705833333333</v>
      </c>
    </row>
    <row r="286" spans="1:13" x14ac:dyDescent="0.3">
      <c r="A286" s="4" t="s">
        <v>860</v>
      </c>
      <c r="B286" s="4">
        <v>17</v>
      </c>
      <c r="C286" s="4">
        <v>39757721</v>
      </c>
      <c r="D286" s="4">
        <v>39864188</v>
      </c>
      <c r="E286" s="4">
        <v>2.1830576000000001E-2</v>
      </c>
      <c r="F286" s="4" t="s">
        <v>861</v>
      </c>
      <c r="G286" s="4" t="s">
        <v>862</v>
      </c>
      <c r="H286" s="5">
        <v>3.1296844858333337</v>
      </c>
      <c r="I286" s="5">
        <v>1.5448859643749999</v>
      </c>
      <c r="J286" s="5">
        <v>4.1358418499999994</v>
      </c>
      <c r="K286" s="5">
        <v>1.4308192333333334</v>
      </c>
      <c r="L286" s="6">
        <f t="shared" si="8"/>
        <v>1.5847985214583338</v>
      </c>
      <c r="M286" s="6">
        <f t="shared" si="9"/>
        <v>2.7050226166666658</v>
      </c>
    </row>
    <row r="287" spans="1:13" x14ac:dyDescent="0.3">
      <c r="A287" s="4" t="s">
        <v>863</v>
      </c>
      <c r="B287" s="4">
        <v>17</v>
      </c>
      <c r="C287" s="4">
        <v>40553769</v>
      </c>
      <c r="D287" s="4">
        <v>40565472</v>
      </c>
      <c r="E287" s="4">
        <v>2.2805411000000001E-2</v>
      </c>
      <c r="F287" s="4" t="s">
        <v>864</v>
      </c>
      <c r="G287" s="4" t="s">
        <v>865</v>
      </c>
      <c r="H287" s="5">
        <v>1.4911490872083331</v>
      </c>
      <c r="I287" s="5">
        <v>0.48891881312499996</v>
      </c>
      <c r="J287" s="5">
        <v>1.9201913333333334</v>
      </c>
      <c r="K287" s="5">
        <v>0.7867577533333332</v>
      </c>
      <c r="L287" s="6">
        <f t="shared" si="8"/>
        <v>1.0022302740833331</v>
      </c>
      <c r="M287" s="6">
        <f t="shared" si="9"/>
        <v>1.1334335800000002</v>
      </c>
    </row>
    <row r="288" spans="1:13" x14ac:dyDescent="0.3">
      <c r="A288" s="4" t="s">
        <v>866</v>
      </c>
      <c r="B288" s="4">
        <v>17</v>
      </c>
      <c r="C288" s="4">
        <v>48133440</v>
      </c>
      <c r="D288" s="4">
        <v>48430275</v>
      </c>
      <c r="E288" s="4">
        <v>1.6538081999999999E-2</v>
      </c>
      <c r="F288" s="4" t="s">
        <v>867</v>
      </c>
      <c r="G288" s="4" t="s">
        <v>868</v>
      </c>
      <c r="H288" s="5">
        <v>2.3131551794000003</v>
      </c>
      <c r="I288" s="5">
        <v>0.65938585287499996</v>
      </c>
      <c r="J288" s="5">
        <v>3.1844376166666666</v>
      </c>
      <c r="K288" s="5">
        <v>0.69330191966666666</v>
      </c>
      <c r="L288" s="6">
        <f t="shared" si="8"/>
        <v>1.6537693265250004</v>
      </c>
      <c r="M288" s="6">
        <f t="shared" si="9"/>
        <v>2.4911356969999998</v>
      </c>
    </row>
    <row r="289" spans="1:13" x14ac:dyDescent="0.3">
      <c r="A289" s="4" t="s">
        <v>869</v>
      </c>
      <c r="B289" s="4">
        <v>17</v>
      </c>
      <c r="C289" s="4">
        <v>48611377</v>
      </c>
      <c r="D289" s="4">
        <v>48614939</v>
      </c>
      <c r="E289" s="4">
        <v>1.1660343E-2</v>
      </c>
      <c r="F289" s="4" t="s">
        <v>870</v>
      </c>
      <c r="G289" s="4" t="s">
        <v>871</v>
      </c>
      <c r="H289" s="5">
        <v>-1.4130860733333332</v>
      </c>
      <c r="I289" s="5">
        <v>-0.94595691187500008</v>
      </c>
      <c r="J289" s="5">
        <v>-2.3449096516666663</v>
      </c>
      <c r="K289" s="5">
        <v>-1.7579339666666669</v>
      </c>
      <c r="L289" s="6">
        <f t="shared" si="8"/>
        <v>-0.46712916145833316</v>
      </c>
      <c r="M289" s="6">
        <f t="shared" si="9"/>
        <v>-0.58697568499999941</v>
      </c>
    </row>
    <row r="290" spans="1:13" x14ac:dyDescent="0.3">
      <c r="A290" s="4" t="s">
        <v>872</v>
      </c>
      <c r="B290" s="4">
        <v>17</v>
      </c>
      <c r="C290" s="4">
        <v>48997412</v>
      </c>
      <c r="D290" s="4">
        <v>49055650</v>
      </c>
      <c r="E290" s="4">
        <v>9.9552319999999996E-3</v>
      </c>
      <c r="F290" s="4" t="s">
        <v>873</v>
      </c>
      <c r="G290" s="4" t="s">
        <v>874</v>
      </c>
      <c r="H290" s="5">
        <v>-2.0578319083333336</v>
      </c>
      <c r="I290" s="5">
        <v>-0.50655365000000019</v>
      </c>
      <c r="J290" s="5">
        <v>-3.770232033333333</v>
      </c>
      <c r="K290" s="5">
        <v>-0.80932436666666663</v>
      </c>
      <c r="L290" s="6">
        <f t="shared" si="8"/>
        <v>-1.5512782583333333</v>
      </c>
      <c r="M290" s="6">
        <f t="shared" si="9"/>
        <v>-2.9609076666666665</v>
      </c>
    </row>
    <row r="291" spans="1:13" x14ac:dyDescent="0.3">
      <c r="A291" s="4" t="s">
        <v>875</v>
      </c>
      <c r="B291" s="4">
        <v>17</v>
      </c>
      <c r="C291" s="4">
        <v>58352500</v>
      </c>
      <c r="D291" s="4">
        <v>58417595</v>
      </c>
      <c r="E291" s="4">
        <v>4.1277990000000001E-2</v>
      </c>
      <c r="F291" s="4" t="s">
        <v>876</v>
      </c>
      <c r="G291" s="4" t="s">
        <v>877</v>
      </c>
      <c r="H291" s="5">
        <v>2.2118717825000003</v>
      </c>
      <c r="I291" s="5">
        <v>1.015373181625</v>
      </c>
      <c r="J291" s="5">
        <v>2.1617910666666664</v>
      </c>
      <c r="K291" s="5">
        <v>1.8256806333333335</v>
      </c>
      <c r="L291" s="6">
        <f t="shared" si="8"/>
        <v>1.1964986008750003</v>
      </c>
      <c r="M291" s="6">
        <f t="shared" si="9"/>
        <v>0.3361104333333329</v>
      </c>
    </row>
    <row r="292" spans="1:13" x14ac:dyDescent="0.3">
      <c r="A292" s="4" t="s">
        <v>878</v>
      </c>
      <c r="B292" s="4">
        <v>17</v>
      </c>
      <c r="C292" s="4">
        <v>74950743</v>
      </c>
      <c r="D292" s="4">
        <v>74973166</v>
      </c>
      <c r="E292" s="4">
        <v>4.5212719999999998E-2</v>
      </c>
      <c r="F292" s="4" t="s">
        <v>879</v>
      </c>
      <c r="G292" s="4" t="s">
        <v>880</v>
      </c>
      <c r="H292" s="5">
        <v>1.1359815924541665</v>
      </c>
      <c r="I292" s="5">
        <v>1.668816925000028E-3</v>
      </c>
      <c r="J292" s="5">
        <v>1.4481170666666667</v>
      </c>
      <c r="K292" s="5">
        <v>0.21997176666666665</v>
      </c>
      <c r="L292" s="6">
        <f t="shared" si="8"/>
        <v>1.1343127755291664</v>
      </c>
      <c r="M292" s="6">
        <f t="shared" si="9"/>
        <v>1.2281453</v>
      </c>
    </row>
    <row r="293" spans="1:13" x14ac:dyDescent="0.3">
      <c r="A293" s="4" t="s">
        <v>881</v>
      </c>
      <c r="B293" s="4">
        <v>18</v>
      </c>
      <c r="C293" s="4">
        <v>14057457</v>
      </c>
      <c r="D293" s="4">
        <v>14132490</v>
      </c>
      <c r="E293" s="4">
        <v>1.77772E-2</v>
      </c>
      <c r="F293" s="4" t="s">
        <v>882</v>
      </c>
      <c r="G293" s="4" t="s">
        <v>883</v>
      </c>
      <c r="H293" s="5">
        <v>3.0729742875000006</v>
      </c>
      <c r="I293" s="5">
        <v>3.5513561375</v>
      </c>
      <c r="J293" s="5">
        <v>3.0467263</v>
      </c>
      <c r="K293" s="5">
        <v>3.0790052333333335</v>
      </c>
      <c r="L293" s="6">
        <f t="shared" si="8"/>
        <v>-0.47838184999999944</v>
      </c>
      <c r="M293" s="6">
        <f t="shared" si="9"/>
        <v>-3.2278933333333537E-2</v>
      </c>
    </row>
    <row r="294" spans="1:13" x14ac:dyDescent="0.3">
      <c r="A294" s="4" t="s">
        <v>884</v>
      </c>
      <c r="B294" s="4">
        <v>18</v>
      </c>
      <c r="C294" s="4">
        <v>45724127</v>
      </c>
      <c r="D294" s="4">
        <v>45752520</v>
      </c>
      <c r="E294" s="4">
        <v>1.939078E-2</v>
      </c>
      <c r="F294" s="4" t="s">
        <v>885</v>
      </c>
      <c r="G294" s="4" t="s">
        <v>886</v>
      </c>
      <c r="H294" s="5">
        <v>0.30489329708333335</v>
      </c>
      <c r="I294" s="5">
        <v>-0.87964821125000003</v>
      </c>
      <c r="J294" s="5">
        <v>1.3169139466666666</v>
      </c>
      <c r="K294" s="5">
        <v>-0.21433396333333332</v>
      </c>
      <c r="L294" s="6">
        <f t="shared" si="8"/>
        <v>1.1845415083333335</v>
      </c>
      <c r="M294" s="6">
        <f t="shared" si="9"/>
        <v>1.5312479099999998</v>
      </c>
    </row>
    <row r="295" spans="1:13" x14ac:dyDescent="0.3">
      <c r="A295" s="4" t="s">
        <v>887</v>
      </c>
      <c r="B295" s="4">
        <v>18</v>
      </c>
      <c r="C295" s="4">
        <v>45983536</v>
      </c>
      <c r="D295" s="4">
        <v>46072272</v>
      </c>
      <c r="E295" s="4">
        <v>1.6213930000000001E-2</v>
      </c>
      <c r="F295" s="4" t="s">
        <v>888</v>
      </c>
      <c r="G295" s="4" t="s">
        <v>889</v>
      </c>
      <c r="H295" s="5">
        <v>2.6358814333333336</v>
      </c>
      <c r="I295" s="5">
        <v>1.4462271792500001</v>
      </c>
      <c r="J295" s="5">
        <v>3.8114907333333328</v>
      </c>
      <c r="K295" s="5">
        <v>2.5537283</v>
      </c>
      <c r="L295" s="6">
        <f t="shared" si="8"/>
        <v>1.1896542540833335</v>
      </c>
      <c r="M295" s="6">
        <f t="shared" si="9"/>
        <v>1.2577624333333328</v>
      </c>
    </row>
    <row r="296" spans="1:13" x14ac:dyDescent="0.3">
      <c r="A296" s="4" t="s">
        <v>890</v>
      </c>
      <c r="B296" s="4">
        <v>18</v>
      </c>
      <c r="C296" s="4">
        <v>69831158</v>
      </c>
      <c r="D296" s="4">
        <v>69961803</v>
      </c>
      <c r="E296" s="4">
        <v>9.5714289999999994E-3</v>
      </c>
      <c r="F296" s="4" t="s">
        <v>891</v>
      </c>
      <c r="G296" s="4" t="s">
        <v>892</v>
      </c>
      <c r="H296" s="5">
        <v>2.1835109720833334</v>
      </c>
      <c r="I296" s="5">
        <v>0.88456207499999984</v>
      </c>
      <c r="J296" s="5">
        <v>3.3535766833333334</v>
      </c>
      <c r="K296" s="5">
        <v>2.1198729666666667</v>
      </c>
      <c r="L296" s="6">
        <f t="shared" si="8"/>
        <v>1.2989488970833336</v>
      </c>
      <c r="M296" s="6">
        <f t="shared" si="9"/>
        <v>1.2337037166666667</v>
      </c>
    </row>
    <row r="297" spans="1:13" x14ac:dyDescent="0.3">
      <c r="A297" s="4" t="s">
        <v>893</v>
      </c>
      <c r="B297" s="4">
        <v>19</v>
      </c>
      <c r="C297" s="4">
        <v>4890437</v>
      </c>
      <c r="D297" s="4">
        <v>4902867</v>
      </c>
      <c r="E297" s="4">
        <v>1.9326304999999998E-2</v>
      </c>
      <c r="F297" s="4" t="s">
        <v>894</v>
      </c>
      <c r="G297" s="4" t="s">
        <v>895</v>
      </c>
      <c r="H297" s="5">
        <v>1.2319190625833334</v>
      </c>
      <c r="I297" s="5">
        <v>-0.48453662875000003</v>
      </c>
      <c r="J297" s="5">
        <v>2.5852130166666663</v>
      </c>
      <c r="K297" s="5">
        <v>-1.4869625066666667</v>
      </c>
      <c r="L297" s="6">
        <f t="shared" si="8"/>
        <v>1.7164556913333335</v>
      </c>
      <c r="M297" s="6">
        <f t="shared" si="9"/>
        <v>4.0721755233333328</v>
      </c>
    </row>
    <row r="298" spans="1:13" x14ac:dyDescent="0.3">
      <c r="A298" s="4" t="s">
        <v>896</v>
      </c>
      <c r="B298" s="4">
        <v>19</v>
      </c>
      <c r="C298" s="4">
        <v>8065402</v>
      </c>
      <c r="D298" s="4">
        <v>8149846</v>
      </c>
      <c r="E298" s="4">
        <v>4.0078780000000001E-2</v>
      </c>
      <c r="F298" s="4" t="s">
        <v>897</v>
      </c>
      <c r="G298" s="4" t="s">
        <v>898</v>
      </c>
      <c r="H298" s="5">
        <v>-2.5923244695833341</v>
      </c>
      <c r="I298" s="5">
        <v>-0.56855663750000007</v>
      </c>
      <c r="J298" s="5">
        <v>-4.059726266666666</v>
      </c>
      <c r="K298" s="5">
        <v>-3.2994309200000003</v>
      </c>
      <c r="L298" s="6">
        <f t="shared" si="8"/>
        <v>-2.0237678320833341</v>
      </c>
      <c r="M298" s="6">
        <f t="shared" si="9"/>
        <v>-0.76029534666666576</v>
      </c>
    </row>
    <row r="299" spans="1:13" x14ac:dyDescent="0.3">
      <c r="A299" s="4" t="s">
        <v>899</v>
      </c>
      <c r="B299" s="4">
        <v>19</v>
      </c>
      <c r="C299" s="4">
        <v>8848844</v>
      </c>
      <c r="D299" s="4">
        <v>8981342</v>
      </c>
      <c r="E299" s="4">
        <v>1.0876841E-2</v>
      </c>
      <c r="F299" s="4" t="s">
        <v>900</v>
      </c>
      <c r="G299" s="4" t="s">
        <v>901</v>
      </c>
      <c r="H299" s="5">
        <v>1.7632436668916665</v>
      </c>
      <c r="I299" s="5">
        <v>-0.43646872000000003</v>
      </c>
      <c r="J299" s="5">
        <v>2.6460265166666663</v>
      </c>
      <c r="K299" s="5">
        <v>0.81707823333333351</v>
      </c>
      <c r="L299" s="6">
        <f t="shared" si="8"/>
        <v>2.1997123868916666</v>
      </c>
      <c r="M299" s="6">
        <f t="shared" si="9"/>
        <v>1.8289482833333328</v>
      </c>
    </row>
    <row r="300" spans="1:13" x14ac:dyDescent="0.3">
      <c r="A300" s="4" t="s">
        <v>902</v>
      </c>
      <c r="B300" s="4">
        <v>19</v>
      </c>
      <c r="C300" s="4">
        <v>16134028</v>
      </c>
      <c r="D300" s="4">
        <v>16158575</v>
      </c>
      <c r="E300" s="4">
        <v>2.0241907E-2</v>
      </c>
      <c r="F300" s="4" t="s">
        <v>903</v>
      </c>
      <c r="G300" s="4" t="s">
        <v>904</v>
      </c>
      <c r="H300" s="5">
        <v>1.4018387252083333</v>
      </c>
      <c r="I300" s="5">
        <v>-0.13497823125000008</v>
      </c>
      <c r="J300" s="5">
        <v>2.21681895</v>
      </c>
      <c r="K300" s="5">
        <v>-0.34147699333333326</v>
      </c>
      <c r="L300" s="6">
        <f t="shared" si="8"/>
        <v>1.5368169564583334</v>
      </c>
      <c r="M300" s="6">
        <f t="shared" si="9"/>
        <v>2.5582959433333334</v>
      </c>
    </row>
    <row r="301" spans="1:13" x14ac:dyDescent="0.3">
      <c r="A301" s="4" t="s">
        <v>905</v>
      </c>
      <c r="B301" s="4">
        <v>19</v>
      </c>
      <c r="C301" s="4">
        <v>18058995</v>
      </c>
      <c r="D301" s="4">
        <v>18098944</v>
      </c>
      <c r="E301" s="4">
        <v>4.0258071999999999E-2</v>
      </c>
      <c r="F301" s="4" t="s">
        <v>906</v>
      </c>
      <c r="G301" s="4" t="s">
        <v>907</v>
      </c>
      <c r="H301" s="5">
        <v>2.4766198099999999</v>
      </c>
      <c r="I301" s="5">
        <v>0.78843477500000003</v>
      </c>
      <c r="J301" s="5">
        <v>4.0088153499999999</v>
      </c>
      <c r="K301" s="5">
        <v>2.2170392333333333</v>
      </c>
      <c r="L301" s="6">
        <f t="shared" si="8"/>
        <v>1.6881850349999998</v>
      </c>
      <c r="M301" s="6">
        <f t="shared" si="9"/>
        <v>1.7917761166666666</v>
      </c>
    </row>
    <row r="302" spans="1:13" x14ac:dyDescent="0.3">
      <c r="A302" s="4" t="s">
        <v>908</v>
      </c>
      <c r="B302" s="4">
        <v>19</v>
      </c>
      <c r="C302" s="4">
        <v>38319844</v>
      </c>
      <c r="D302" s="4">
        <v>38329020</v>
      </c>
      <c r="E302" s="4">
        <v>4.1123167000000002E-2</v>
      </c>
      <c r="F302" s="4" t="s">
        <v>909</v>
      </c>
      <c r="G302" s="4" t="s">
        <v>910</v>
      </c>
      <c r="H302" s="5">
        <v>0.49624465895833336</v>
      </c>
      <c r="I302" s="5">
        <v>-0.33716106625000003</v>
      </c>
      <c r="J302" s="5">
        <v>0.90336968333333323</v>
      </c>
      <c r="K302" s="5">
        <v>0.78537446666666677</v>
      </c>
      <c r="L302" s="6">
        <f t="shared" si="8"/>
        <v>0.83340572520833334</v>
      </c>
      <c r="M302" s="6">
        <f t="shared" si="9"/>
        <v>0.11799521666666646</v>
      </c>
    </row>
    <row r="303" spans="1:13" x14ac:dyDescent="0.3">
      <c r="A303" s="4" t="s">
        <v>911</v>
      </c>
      <c r="B303" s="4">
        <v>19</v>
      </c>
      <c r="C303" s="4">
        <v>41877120</v>
      </c>
      <c r="D303" s="4">
        <v>41881372</v>
      </c>
      <c r="E303" s="4">
        <v>2.8009662000000001E-2</v>
      </c>
      <c r="F303" s="4" t="s">
        <v>912</v>
      </c>
      <c r="G303" s="4" t="s">
        <v>913</v>
      </c>
      <c r="H303" s="5">
        <v>1.5074965583333333</v>
      </c>
      <c r="I303" s="5">
        <v>-5.6908697500000049E-2</v>
      </c>
      <c r="J303" s="5">
        <v>2.9244924333333331</v>
      </c>
      <c r="K303" s="5">
        <v>-1.6406203333333333</v>
      </c>
      <c r="L303" s="6">
        <f t="shared" si="8"/>
        <v>1.5644052558333335</v>
      </c>
      <c r="M303" s="6">
        <f t="shared" si="9"/>
        <v>4.5651127666666662</v>
      </c>
    </row>
    <row r="304" spans="1:13" x14ac:dyDescent="0.3">
      <c r="A304" s="4" t="s">
        <v>914</v>
      </c>
      <c r="B304" s="4">
        <v>19</v>
      </c>
      <c r="C304" s="4">
        <v>41966582</v>
      </c>
      <c r="D304" s="4">
        <v>41997497</v>
      </c>
      <c r="E304" s="4">
        <v>3.7826962999999998E-2</v>
      </c>
      <c r="F304" s="4" t="s">
        <v>915</v>
      </c>
      <c r="G304" s="4" t="s">
        <v>916</v>
      </c>
      <c r="H304" s="5">
        <v>0.83181648774999983</v>
      </c>
      <c r="I304" s="5">
        <v>-0.77905523749999994</v>
      </c>
      <c r="J304" s="5">
        <v>2.5917114666666667</v>
      </c>
      <c r="K304" s="5">
        <v>3.0647002456666663</v>
      </c>
      <c r="L304" s="6">
        <f t="shared" si="8"/>
        <v>1.6108717252499998</v>
      </c>
      <c r="M304" s="6">
        <f t="shared" si="9"/>
        <v>-0.47298877899999958</v>
      </c>
    </row>
    <row r="305" spans="1:13" x14ac:dyDescent="0.3">
      <c r="A305" s="4" t="s">
        <v>917</v>
      </c>
      <c r="B305" s="4">
        <v>19</v>
      </c>
      <c r="C305" s="4">
        <v>48047843</v>
      </c>
      <c r="D305" s="4">
        <v>48110817</v>
      </c>
      <c r="E305" s="4">
        <v>4.8184070000000002E-2</v>
      </c>
      <c r="F305" s="4" t="s">
        <v>918</v>
      </c>
      <c r="G305" s="4" t="s">
        <v>919</v>
      </c>
      <c r="H305" s="5">
        <v>3.2389080666666672</v>
      </c>
      <c r="I305" s="5">
        <v>2.1213633250000004</v>
      </c>
      <c r="J305" s="5">
        <v>3.3583232833333327</v>
      </c>
      <c r="K305" s="5">
        <v>3.4204417333333335</v>
      </c>
      <c r="L305" s="6">
        <f t="shared" si="8"/>
        <v>1.1175447416666668</v>
      </c>
      <c r="M305" s="6">
        <f t="shared" si="9"/>
        <v>-6.2118450000000713E-2</v>
      </c>
    </row>
    <row r="306" spans="1:13" x14ac:dyDescent="0.3">
      <c r="A306" s="4" t="s">
        <v>920</v>
      </c>
      <c r="B306" s="4">
        <v>19</v>
      </c>
      <c r="C306" s="4">
        <v>49340595</v>
      </c>
      <c r="D306" s="4">
        <v>49362457</v>
      </c>
      <c r="E306" s="4">
        <v>3.4498688E-2</v>
      </c>
      <c r="F306" s="4" t="s">
        <v>921</v>
      </c>
      <c r="G306" s="4" t="s">
        <v>922</v>
      </c>
      <c r="H306" s="5">
        <v>3.5866478416666663</v>
      </c>
      <c r="I306" s="5">
        <v>3.9239983875000002</v>
      </c>
      <c r="J306" s="5">
        <v>3.3874248666666662</v>
      </c>
      <c r="K306" s="5">
        <v>3.6640094666666663</v>
      </c>
      <c r="L306" s="6">
        <f t="shared" si="8"/>
        <v>-0.3373505458333339</v>
      </c>
      <c r="M306" s="6">
        <f t="shared" si="9"/>
        <v>-0.27658460000000007</v>
      </c>
    </row>
    <row r="307" spans="1:13" x14ac:dyDescent="0.3">
      <c r="A307" s="4" t="s">
        <v>923</v>
      </c>
      <c r="B307" s="4">
        <v>19</v>
      </c>
      <c r="C307" s="4">
        <v>51519525</v>
      </c>
      <c r="D307" s="4">
        <v>51531856</v>
      </c>
      <c r="E307" s="4">
        <v>2.8646478E-2</v>
      </c>
      <c r="F307" s="4" t="s">
        <v>924</v>
      </c>
      <c r="G307" s="4" t="s">
        <v>925</v>
      </c>
      <c r="H307" s="5">
        <v>-1.1642463183333336</v>
      </c>
      <c r="I307" s="5">
        <v>-2.6195316375000002</v>
      </c>
      <c r="J307" s="5">
        <v>-0.62523184833333323</v>
      </c>
      <c r="K307" s="5">
        <v>-1.0303126500000002</v>
      </c>
      <c r="L307" s="6">
        <f t="shared" si="8"/>
        <v>1.4552853191666666</v>
      </c>
      <c r="M307" s="6">
        <f t="shared" si="9"/>
        <v>0.40508080166666693</v>
      </c>
    </row>
    <row r="308" spans="1:13" x14ac:dyDescent="0.3">
      <c r="A308" s="4" t="s">
        <v>926</v>
      </c>
      <c r="B308" s="4">
        <v>19</v>
      </c>
      <c r="C308" s="4">
        <v>54906150</v>
      </c>
      <c r="D308" s="4">
        <v>54916140</v>
      </c>
      <c r="E308" s="4">
        <v>1.9868371999999999E-2</v>
      </c>
      <c r="F308" s="4" t="s">
        <v>927</v>
      </c>
      <c r="G308" s="4" t="s">
        <v>928</v>
      </c>
      <c r="H308" s="5">
        <v>-0.39861166749999999</v>
      </c>
      <c r="I308" s="5">
        <v>-2.5105446974999999</v>
      </c>
      <c r="J308" s="5">
        <v>1.1285905950000001</v>
      </c>
      <c r="K308" s="5">
        <v>-1.7204423333333334</v>
      </c>
      <c r="L308" s="6">
        <f t="shared" si="8"/>
        <v>2.1119330299999999</v>
      </c>
      <c r="M308" s="6">
        <f t="shared" si="9"/>
        <v>2.8490329283333335</v>
      </c>
    </row>
    <row r="309" spans="1:13" x14ac:dyDescent="0.3">
      <c r="A309" s="4" t="s">
        <v>929</v>
      </c>
      <c r="B309" s="4">
        <v>20</v>
      </c>
      <c r="C309" s="4">
        <v>1629152</v>
      </c>
      <c r="D309" s="4">
        <v>1657779</v>
      </c>
      <c r="E309" s="4">
        <v>2.9076320999999999E-2</v>
      </c>
      <c r="F309" s="4" t="s">
        <v>930</v>
      </c>
      <c r="G309" s="4" t="s">
        <v>931</v>
      </c>
      <c r="H309" s="5">
        <v>1.5018002851666665</v>
      </c>
      <c r="I309" s="5">
        <v>-0.31913293875000009</v>
      </c>
      <c r="J309" s="5">
        <v>3.5386061166666667</v>
      </c>
      <c r="K309" s="5">
        <v>0.25089012666666671</v>
      </c>
      <c r="L309" s="6">
        <f t="shared" si="8"/>
        <v>1.8209332239166667</v>
      </c>
      <c r="M309" s="6">
        <f t="shared" si="9"/>
        <v>3.2877159900000001</v>
      </c>
    </row>
    <row r="310" spans="1:13" x14ac:dyDescent="0.3">
      <c r="A310" s="4" t="s">
        <v>932</v>
      </c>
      <c r="B310" s="4">
        <v>20</v>
      </c>
      <c r="C310" s="4">
        <v>4780023</v>
      </c>
      <c r="D310" s="4">
        <v>4823645</v>
      </c>
      <c r="E310" s="4">
        <v>5.5868840000000003E-3</v>
      </c>
      <c r="F310" s="4" t="s">
        <v>933</v>
      </c>
      <c r="G310" s="4" t="s">
        <v>934</v>
      </c>
      <c r="H310" s="5">
        <v>3.5718309208333339</v>
      </c>
      <c r="I310" s="5">
        <v>2.4285319075</v>
      </c>
      <c r="J310" s="5">
        <v>4.0620355999999997</v>
      </c>
      <c r="K310" s="5">
        <v>3.3733665666666663</v>
      </c>
      <c r="L310" s="6">
        <f t="shared" si="8"/>
        <v>1.1432990133333338</v>
      </c>
      <c r="M310" s="6">
        <f t="shared" si="9"/>
        <v>0.6886690333333334</v>
      </c>
    </row>
    <row r="311" spans="1:13" x14ac:dyDescent="0.3">
      <c r="A311" s="4" t="s">
        <v>935</v>
      </c>
      <c r="B311" s="4">
        <v>20</v>
      </c>
      <c r="C311" s="4">
        <v>16729961</v>
      </c>
      <c r="D311" s="4">
        <v>16742563</v>
      </c>
      <c r="E311" s="4">
        <v>3.927083E-2</v>
      </c>
      <c r="F311" s="4" t="s">
        <v>936</v>
      </c>
      <c r="G311" s="4" t="s">
        <v>937</v>
      </c>
      <c r="H311" s="5">
        <v>3.8027948416666661</v>
      </c>
      <c r="I311" s="5">
        <v>4.0602640874999993</v>
      </c>
      <c r="J311" s="5">
        <v>3.5940656833333335</v>
      </c>
      <c r="K311" s="5">
        <v>3.7208245000000004</v>
      </c>
      <c r="L311" s="6">
        <f t="shared" si="8"/>
        <v>-0.25746924583333319</v>
      </c>
      <c r="M311" s="6">
        <f t="shared" si="9"/>
        <v>-0.12675881666666688</v>
      </c>
    </row>
    <row r="312" spans="1:13" x14ac:dyDescent="0.3">
      <c r="A312" s="4" t="s">
        <v>938</v>
      </c>
      <c r="B312" s="4">
        <v>20</v>
      </c>
      <c r="C312" s="4">
        <v>57603846</v>
      </c>
      <c r="D312" s="4">
        <v>57620576</v>
      </c>
      <c r="E312" s="4">
        <v>3.2578207999999997E-2</v>
      </c>
      <c r="F312" s="4" t="s">
        <v>939</v>
      </c>
      <c r="G312" s="4" t="s">
        <v>940</v>
      </c>
      <c r="H312" s="5">
        <v>1.898332898416667</v>
      </c>
      <c r="I312" s="5">
        <v>0.25176369500000007</v>
      </c>
      <c r="J312" s="5">
        <v>3.0766269499999996</v>
      </c>
      <c r="K312" s="5">
        <v>-0.17249027333333333</v>
      </c>
      <c r="L312" s="6">
        <f t="shared" si="8"/>
        <v>1.646569203416667</v>
      </c>
      <c r="M312" s="6">
        <f t="shared" si="9"/>
        <v>3.2491172233333332</v>
      </c>
    </row>
    <row r="313" spans="1:13" x14ac:dyDescent="0.3">
      <c r="A313" s="4" t="s">
        <v>941</v>
      </c>
      <c r="B313" s="4">
        <v>20</v>
      </c>
      <c r="C313" s="4">
        <v>58818919</v>
      </c>
      <c r="D313" s="4">
        <v>58850903</v>
      </c>
      <c r="E313" s="4">
        <v>3.5290166999999997E-2</v>
      </c>
      <c r="F313" s="4" t="s">
        <v>942</v>
      </c>
      <c r="G313" s="4" t="s">
        <v>943</v>
      </c>
      <c r="H313" s="5">
        <v>0.76998495500000008</v>
      </c>
      <c r="I313" s="5">
        <v>1.5857877925000001</v>
      </c>
      <c r="J313" s="5">
        <v>0.21079736233333335</v>
      </c>
      <c r="K313" s="5">
        <v>-0.23315626999999997</v>
      </c>
      <c r="L313" s="6">
        <f t="shared" si="8"/>
        <v>-0.81580283750000004</v>
      </c>
      <c r="M313" s="6">
        <f t="shared" si="9"/>
        <v>0.44395363233333329</v>
      </c>
    </row>
    <row r="314" spans="1:13" x14ac:dyDescent="0.3">
      <c r="A314" s="4" t="s">
        <v>944</v>
      </c>
      <c r="B314" s="4">
        <v>20</v>
      </c>
      <c r="C314" s="4">
        <v>59191020</v>
      </c>
      <c r="D314" s="4">
        <v>59259113</v>
      </c>
      <c r="E314" s="4">
        <v>3.8901348000000002E-2</v>
      </c>
      <c r="F314" s="4" t="s">
        <v>945</v>
      </c>
      <c r="G314" s="4" t="s">
        <v>946</v>
      </c>
      <c r="H314" s="5">
        <v>1.8422358904166669</v>
      </c>
      <c r="I314" s="5">
        <v>0.42405689749999997</v>
      </c>
      <c r="J314" s="5">
        <v>3.4761279666666667</v>
      </c>
      <c r="K314" s="5">
        <v>0.33256771333333335</v>
      </c>
      <c r="L314" s="6">
        <f t="shared" si="8"/>
        <v>1.4181789929166668</v>
      </c>
      <c r="M314" s="6">
        <f t="shared" si="9"/>
        <v>3.1435602533333333</v>
      </c>
    </row>
    <row r="315" spans="1:13" x14ac:dyDescent="0.3">
      <c r="A315" s="4" t="s">
        <v>947</v>
      </c>
      <c r="B315" s="4">
        <v>20</v>
      </c>
      <c r="C315" s="4">
        <v>63293186</v>
      </c>
      <c r="D315" s="4">
        <v>63334851</v>
      </c>
      <c r="E315" s="4">
        <v>1.1223995E-3</v>
      </c>
      <c r="F315" s="4" t="s">
        <v>948</v>
      </c>
      <c r="G315" s="4" t="s">
        <v>949</v>
      </c>
      <c r="H315" s="5">
        <v>-1.8949735324999997</v>
      </c>
      <c r="I315" s="5">
        <v>0.44904233749999994</v>
      </c>
      <c r="J315" s="5">
        <v>-3.4973269499999997</v>
      </c>
      <c r="K315" s="5">
        <v>-1.7085677333333333</v>
      </c>
      <c r="L315" s="6">
        <f t="shared" si="8"/>
        <v>-2.3440158699999998</v>
      </c>
      <c r="M315" s="6">
        <f t="shared" si="9"/>
        <v>-1.7887592166666664</v>
      </c>
    </row>
    <row r="316" spans="1:13" x14ac:dyDescent="0.3">
      <c r="A316" s="4" t="s">
        <v>950</v>
      </c>
      <c r="B316" s="4">
        <v>21</v>
      </c>
      <c r="C316" s="4">
        <v>14485228</v>
      </c>
      <c r="D316" s="4">
        <v>14583402</v>
      </c>
      <c r="E316" s="4">
        <v>4.3839756000000001E-2</v>
      </c>
      <c r="F316" s="4" t="s">
        <v>951</v>
      </c>
      <c r="G316" s="4" t="s">
        <v>952</v>
      </c>
      <c r="H316" s="5">
        <v>3.4675049166666665</v>
      </c>
      <c r="I316" s="5">
        <v>2.5504380250000001</v>
      </c>
      <c r="J316" s="5">
        <v>4.3451884666666665</v>
      </c>
      <c r="K316" s="5">
        <v>2.8461811333333333</v>
      </c>
      <c r="L316" s="6">
        <f t="shared" si="8"/>
        <v>0.91706689166666644</v>
      </c>
      <c r="M316" s="6">
        <f t="shared" si="9"/>
        <v>1.4990073333333331</v>
      </c>
    </row>
    <row r="317" spans="1:13" x14ac:dyDescent="0.3">
      <c r="A317" s="4" t="s">
        <v>953</v>
      </c>
      <c r="B317" s="4">
        <v>21</v>
      </c>
      <c r="C317" s="4">
        <v>42403899</v>
      </c>
      <c r="D317" s="4">
        <v>42447681</v>
      </c>
      <c r="E317" s="4">
        <v>1.9995580999999998E-2</v>
      </c>
      <c r="F317" s="4" t="s">
        <v>954</v>
      </c>
      <c r="G317" s="4" t="s">
        <v>955</v>
      </c>
      <c r="H317" s="5">
        <v>1.6262747527249999</v>
      </c>
      <c r="I317" s="5">
        <v>-4.3737397499999942E-2</v>
      </c>
      <c r="J317" s="5">
        <v>3.1883443833333334</v>
      </c>
      <c r="K317" s="5">
        <v>0.37331968333333337</v>
      </c>
      <c r="L317" s="6">
        <f t="shared" si="8"/>
        <v>1.6700121502249998</v>
      </c>
      <c r="M317" s="6">
        <f t="shared" si="9"/>
        <v>2.8150246999999999</v>
      </c>
    </row>
    <row r="318" spans="1:13" x14ac:dyDescent="0.3">
      <c r="A318" s="4" t="s">
        <v>956</v>
      </c>
      <c r="B318" s="4">
        <v>22</v>
      </c>
      <c r="C318" s="4">
        <v>36140330</v>
      </c>
      <c r="D318" s="4">
        <v>36166177</v>
      </c>
      <c r="E318" s="4">
        <v>1.3722323999999999E-2</v>
      </c>
      <c r="F318" s="4" t="s">
        <v>957</v>
      </c>
      <c r="G318" s="4" t="s">
        <v>958</v>
      </c>
      <c r="H318" s="5">
        <v>3.7854727958333321</v>
      </c>
      <c r="I318" s="5">
        <v>2.4430674749999999</v>
      </c>
      <c r="J318" s="5">
        <v>4.2434339999999997</v>
      </c>
      <c r="K318" s="5">
        <v>3.086392</v>
      </c>
      <c r="L318" s="6">
        <f t="shared" si="8"/>
        <v>1.3424053208333322</v>
      </c>
      <c r="M318" s="6">
        <f t="shared" si="9"/>
        <v>1.1570419999999997</v>
      </c>
    </row>
    <row r="319" spans="1:13" x14ac:dyDescent="0.3">
      <c r="A319" s="4" t="s">
        <v>959</v>
      </c>
      <c r="B319" s="4">
        <v>22</v>
      </c>
      <c r="C319" s="4">
        <v>36189124</v>
      </c>
      <c r="D319" s="4">
        <v>36204840</v>
      </c>
      <c r="E319" s="4">
        <v>2.1171741000000001E-2</v>
      </c>
      <c r="F319" s="4" t="s">
        <v>960</v>
      </c>
      <c r="G319" s="4" t="s">
        <v>961</v>
      </c>
      <c r="H319" s="5">
        <v>2.7018980945833335</v>
      </c>
      <c r="I319" s="5">
        <v>0.95685081625000001</v>
      </c>
      <c r="J319" s="5">
        <v>3.9533755499999992</v>
      </c>
      <c r="K319" s="5">
        <v>2.6908862333333334</v>
      </c>
      <c r="L319" s="6">
        <f t="shared" si="8"/>
        <v>1.7450472783333335</v>
      </c>
      <c r="M319" s="6">
        <f t="shared" si="9"/>
        <v>1.2624893166666658</v>
      </c>
    </row>
    <row r="320" spans="1:13" x14ac:dyDescent="0.3">
      <c r="A320" s="4" t="s">
        <v>962</v>
      </c>
      <c r="B320" s="4">
        <v>22</v>
      </c>
      <c r="C320" s="4">
        <v>36253010</v>
      </c>
      <c r="D320" s="4">
        <v>36267530</v>
      </c>
      <c r="E320" s="4">
        <v>4.6555343999999999E-2</v>
      </c>
      <c r="F320" s="4" t="s">
        <v>963</v>
      </c>
      <c r="G320" s="4" t="s">
        <v>964</v>
      </c>
      <c r="H320" s="5">
        <v>3.4242262041666667</v>
      </c>
      <c r="I320" s="5">
        <v>2.2453535250000001</v>
      </c>
      <c r="J320" s="5">
        <v>3.8635602666666666</v>
      </c>
      <c r="K320" s="5">
        <v>2.8904435333333329</v>
      </c>
      <c r="L320" s="6">
        <f t="shared" si="8"/>
        <v>1.1788726791666666</v>
      </c>
      <c r="M320" s="6">
        <f t="shared" si="9"/>
        <v>0.97311673333333371</v>
      </c>
    </row>
    <row r="321" spans="1:13" x14ac:dyDescent="0.3">
      <c r="A321" s="4" t="s">
        <v>965</v>
      </c>
      <c r="B321" s="4">
        <v>22</v>
      </c>
      <c r="C321" s="4">
        <v>37225261</v>
      </c>
      <c r="D321" s="4">
        <v>37244448</v>
      </c>
      <c r="E321" s="4">
        <v>4.8713966999999997E-2</v>
      </c>
      <c r="F321" s="4" t="s">
        <v>966</v>
      </c>
      <c r="G321" s="4" t="s">
        <v>967</v>
      </c>
      <c r="H321" s="5">
        <v>3.2085580916666672</v>
      </c>
      <c r="I321" s="5">
        <v>2.1840365125000001</v>
      </c>
      <c r="J321" s="5">
        <v>4.0723355000000003</v>
      </c>
      <c r="K321" s="5">
        <v>2.7035670000000001</v>
      </c>
      <c r="L321" s="6">
        <f t="shared" si="8"/>
        <v>1.0245215791666671</v>
      </c>
      <c r="M321" s="6">
        <f t="shared" si="9"/>
        <v>1.3687685000000003</v>
      </c>
    </row>
    <row r="322" spans="1:13" x14ac:dyDescent="0.3">
      <c r="A322" s="4" t="s">
        <v>968</v>
      </c>
      <c r="B322" s="4">
        <v>22</v>
      </c>
      <c r="C322" s="4">
        <v>39097224</v>
      </c>
      <c r="D322" s="4">
        <v>39104067</v>
      </c>
      <c r="E322" s="4">
        <v>3.5094053E-2</v>
      </c>
      <c r="F322" s="4" t="s">
        <v>969</v>
      </c>
      <c r="G322" s="4" t="s">
        <v>970</v>
      </c>
      <c r="H322" s="5">
        <v>-0.36725305583333334</v>
      </c>
      <c r="I322" s="5">
        <v>-2.2665474424999998</v>
      </c>
      <c r="J322" s="5">
        <v>1.0755946933333334</v>
      </c>
      <c r="K322" s="5">
        <v>-1.9154298666666667</v>
      </c>
      <c r="L322" s="6">
        <f t="shared" si="8"/>
        <v>1.8992943866666665</v>
      </c>
      <c r="M322" s="6">
        <f t="shared" si="9"/>
        <v>2.9910245600000001</v>
      </c>
    </row>
    <row r="323" spans="1:13" x14ac:dyDescent="0.3">
      <c r="A323" s="4" t="s">
        <v>971</v>
      </c>
      <c r="B323" s="4">
        <v>22</v>
      </c>
      <c r="C323" s="4">
        <v>44881162</v>
      </c>
      <c r="D323" s="4">
        <v>45009999</v>
      </c>
      <c r="E323" s="4">
        <v>1.8378756999999999E-2</v>
      </c>
      <c r="F323" s="4" t="s">
        <v>972</v>
      </c>
      <c r="G323" s="4" t="s">
        <v>973</v>
      </c>
      <c r="H323" s="5">
        <v>-3.0374751208333328</v>
      </c>
      <c r="I323" s="5">
        <v>-1.1025994625</v>
      </c>
      <c r="J323" s="5">
        <v>-3.7702320166666663</v>
      </c>
      <c r="K323" s="5">
        <v>-1.0537757000000001</v>
      </c>
      <c r="L323" s="6">
        <f t="shared" si="8"/>
        <v>-1.9348756583333329</v>
      </c>
      <c r="M323" s="6">
        <f t="shared" si="9"/>
        <v>-2.7164563166666662</v>
      </c>
    </row>
    <row r="324" spans="1:13" x14ac:dyDescent="0.3">
      <c r="A324" s="4" t="s">
        <v>974</v>
      </c>
      <c r="B324" s="4" t="s">
        <v>975</v>
      </c>
      <c r="C324" s="4">
        <v>12906620</v>
      </c>
      <c r="D324" s="4">
        <v>12923169</v>
      </c>
      <c r="E324" s="4">
        <v>1.3039683999999999E-2</v>
      </c>
      <c r="F324" s="4" t="s">
        <v>976</v>
      </c>
      <c r="G324" s="4" t="s">
        <v>977</v>
      </c>
      <c r="H324" s="5">
        <v>2.6678327541666662</v>
      </c>
      <c r="I324" s="5">
        <v>1.20429214</v>
      </c>
      <c r="J324" s="5">
        <v>3.7269290000000002</v>
      </c>
      <c r="K324" s="5">
        <v>2.1012107666666666</v>
      </c>
      <c r="L324" s="6">
        <f t="shared" si="8"/>
        <v>1.4635406141666663</v>
      </c>
      <c r="M324" s="6">
        <f t="shared" si="9"/>
        <v>1.6257182333333335</v>
      </c>
    </row>
    <row r="325" spans="1:13" x14ac:dyDescent="0.3">
      <c r="A325" s="4" t="s">
        <v>978</v>
      </c>
      <c r="B325" s="4" t="s">
        <v>975</v>
      </c>
      <c r="C325" s="4">
        <v>38561370</v>
      </c>
      <c r="D325" s="4">
        <v>38688920</v>
      </c>
      <c r="E325" s="4">
        <v>2.6614599999999999E-2</v>
      </c>
      <c r="F325" s="4" t="s">
        <v>979</v>
      </c>
      <c r="G325" s="4" t="s">
        <v>980</v>
      </c>
      <c r="H325" s="5">
        <v>2.9742177958333329</v>
      </c>
      <c r="I325" s="5">
        <v>1.43979223125</v>
      </c>
      <c r="J325" s="5">
        <v>2.8823786666666664</v>
      </c>
      <c r="K325" s="5">
        <v>2.9699487333333336</v>
      </c>
      <c r="L325" s="6">
        <f t="shared" ref="L325:L331" si="10">H325-I325</f>
        <v>1.5344255645833329</v>
      </c>
      <c r="M325" s="6">
        <f t="shared" ref="M325:M331" si="11">J325-K325</f>
        <v>-8.7570066666667223E-2</v>
      </c>
    </row>
    <row r="326" spans="1:13" x14ac:dyDescent="0.3">
      <c r="A326" s="4" t="s">
        <v>981</v>
      </c>
      <c r="B326" s="4" t="s">
        <v>975</v>
      </c>
      <c r="C326" s="4">
        <v>71107404</v>
      </c>
      <c r="D326" s="4">
        <v>71112108</v>
      </c>
      <c r="E326" s="4">
        <v>8.2328509999999994E-3</v>
      </c>
      <c r="F326" s="4" t="s">
        <v>982</v>
      </c>
      <c r="G326" s="4" t="s">
        <v>983</v>
      </c>
      <c r="H326" s="5">
        <v>3.517808191666667</v>
      </c>
      <c r="I326" s="5">
        <v>2.0802805874999999</v>
      </c>
      <c r="J326" s="5">
        <v>4.5310356833333332</v>
      </c>
      <c r="K326" s="5">
        <v>2.4675626000000004</v>
      </c>
      <c r="L326" s="6">
        <f t="shared" si="10"/>
        <v>1.4375276041666671</v>
      </c>
      <c r="M326" s="6">
        <f t="shared" si="11"/>
        <v>2.0634730833333328</v>
      </c>
    </row>
    <row r="327" spans="1:13" x14ac:dyDescent="0.3">
      <c r="A327" s="4" t="s">
        <v>984</v>
      </c>
      <c r="B327" s="4" t="s">
        <v>975</v>
      </c>
      <c r="C327" s="4">
        <v>73212299</v>
      </c>
      <c r="D327" s="4">
        <v>73214848</v>
      </c>
      <c r="E327" s="4">
        <v>1.4562904999999999E-2</v>
      </c>
      <c r="F327" s="4" t="s">
        <v>985</v>
      </c>
      <c r="G327" s="4" t="s">
        <v>986</v>
      </c>
      <c r="H327" s="5">
        <v>-0.49706053560833335</v>
      </c>
      <c r="I327" s="5">
        <v>-2.0545482124999999</v>
      </c>
      <c r="J327" s="5">
        <v>0.71947342266666681</v>
      </c>
      <c r="K327" s="5">
        <v>-0.32566753333333337</v>
      </c>
      <c r="L327" s="6">
        <f t="shared" si="10"/>
        <v>1.5574876768916666</v>
      </c>
      <c r="M327" s="6">
        <f t="shared" si="11"/>
        <v>1.0451409560000002</v>
      </c>
    </row>
    <row r="328" spans="1:13" x14ac:dyDescent="0.3">
      <c r="A328" s="4" t="s">
        <v>987</v>
      </c>
      <c r="B328" s="4" t="s">
        <v>975</v>
      </c>
      <c r="C328" s="4">
        <v>78945332</v>
      </c>
      <c r="D328" s="4">
        <v>78961954</v>
      </c>
      <c r="E328" s="4">
        <v>2.1820616000000001E-2</v>
      </c>
      <c r="F328" s="4" t="s">
        <v>988</v>
      </c>
      <c r="G328" s="4" t="s">
        <v>989</v>
      </c>
      <c r="H328" s="5">
        <v>1.213031145</v>
      </c>
      <c r="I328" s="5">
        <v>-0.35207120200000003</v>
      </c>
      <c r="J328" s="5">
        <v>2.2823546499999998</v>
      </c>
      <c r="K328" s="5">
        <v>5.1413946666666675E-2</v>
      </c>
      <c r="L328" s="6">
        <f t="shared" si="10"/>
        <v>1.5651023470000001</v>
      </c>
      <c r="M328" s="6">
        <f t="shared" si="11"/>
        <v>2.2309407033333333</v>
      </c>
    </row>
    <row r="329" spans="1:13" ht="21" customHeight="1" x14ac:dyDescent="0.3">
      <c r="A329" s="4" t="s">
        <v>990</v>
      </c>
      <c r="B329" s="4" t="s">
        <v>975</v>
      </c>
      <c r="C329" s="4">
        <v>91779261</v>
      </c>
      <c r="D329" s="4">
        <v>92623230</v>
      </c>
      <c r="E329" s="4">
        <v>4.9897856999999997E-2</v>
      </c>
      <c r="F329" s="4" t="s">
        <v>991</v>
      </c>
      <c r="G329" s="4" t="s">
        <v>992</v>
      </c>
      <c r="H329" s="5">
        <v>-0.79536217016666644</v>
      </c>
      <c r="I329" s="5">
        <v>0.37391701249999998</v>
      </c>
      <c r="J329" s="5">
        <v>0.18721643666666665</v>
      </c>
      <c r="K329" s="5">
        <v>-0.78465740000000006</v>
      </c>
      <c r="L329" s="6">
        <f t="shared" si="10"/>
        <v>-1.1692791826666664</v>
      </c>
      <c r="M329" s="6">
        <f t="shared" si="11"/>
        <v>0.97187383666666671</v>
      </c>
    </row>
    <row r="330" spans="1:13" ht="25.95" customHeight="1" x14ac:dyDescent="0.3">
      <c r="A330" s="4" t="s">
        <v>993</v>
      </c>
      <c r="B330" s="4" t="s">
        <v>975</v>
      </c>
      <c r="C330" s="4">
        <v>124346344</v>
      </c>
      <c r="D330" s="4">
        <v>124373155</v>
      </c>
      <c r="E330" s="4">
        <v>1.8891959E-2</v>
      </c>
      <c r="F330" s="4" t="s">
        <v>994</v>
      </c>
      <c r="G330" s="4" t="s">
        <v>995</v>
      </c>
      <c r="H330" s="5">
        <v>1.0407843812500002</v>
      </c>
      <c r="I330" s="5">
        <v>-0.71100686249999989</v>
      </c>
      <c r="J330" s="5">
        <v>2.9490919833333336</v>
      </c>
      <c r="K330" s="5">
        <v>-0.66677841000000004</v>
      </c>
      <c r="L330" s="6">
        <f t="shared" si="10"/>
        <v>1.7517912437500001</v>
      </c>
      <c r="M330" s="6">
        <f t="shared" si="11"/>
        <v>3.6158703933333336</v>
      </c>
    </row>
    <row r="331" spans="1:13" x14ac:dyDescent="0.3">
      <c r="A331" s="4" t="s">
        <v>996</v>
      </c>
      <c r="B331" s="4" t="s">
        <v>975</v>
      </c>
      <c r="C331" s="4">
        <v>150568619</v>
      </c>
      <c r="D331" s="4">
        <v>150673322</v>
      </c>
      <c r="E331" s="4">
        <v>2.8115340999999999E-2</v>
      </c>
      <c r="F331" s="4" t="s">
        <v>997</v>
      </c>
      <c r="G331" s="4" t="s">
        <v>998</v>
      </c>
      <c r="H331" s="5">
        <v>4.0243498791666665</v>
      </c>
      <c r="I331" s="5">
        <v>3.3728452125000001</v>
      </c>
      <c r="J331" s="5">
        <v>4.4076907833333339</v>
      </c>
      <c r="K331" s="5">
        <v>3.9441824666666663</v>
      </c>
      <c r="L331" s="6">
        <f t="shared" si="10"/>
        <v>0.6515046666666664</v>
      </c>
      <c r="M331" s="6">
        <f t="shared" si="11"/>
        <v>0.46350831666666759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S5. PD1+CTLA4-DEgenes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2018-12-20T02:09:33Z</dcterms:created>
  <dcterms:modified xsi:type="dcterms:W3CDTF">2018-12-20T02:09:49Z</dcterms:modified>
</cp:coreProperties>
</file>